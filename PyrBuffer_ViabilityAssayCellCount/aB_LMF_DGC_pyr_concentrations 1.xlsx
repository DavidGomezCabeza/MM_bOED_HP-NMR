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nergy_experiments\alamarBlue\"/>
    </mc:Choice>
  </mc:AlternateContent>
  <xr:revisionPtr revIDLastSave="0" documentId="13_ncr:1_{609FD2E9-0C49-4216-B155-6E864F01D6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te 1 - Sheet1" sheetId="1" r:id="rId1"/>
  </sheets>
  <definedNames>
    <definedName name="MethodPointer1">-274445408</definedName>
    <definedName name="MethodPointer2">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8" i="1" l="1"/>
  <c r="Y58" i="1"/>
  <c r="Z58" i="1"/>
  <c r="AA58" i="1"/>
  <c r="AB58" i="1"/>
  <c r="AC58" i="1"/>
  <c r="AD58" i="1"/>
  <c r="AE58" i="1"/>
  <c r="AF58" i="1"/>
  <c r="AG58" i="1"/>
  <c r="X59" i="1"/>
  <c r="Y59" i="1"/>
  <c r="Z59" i="1"/>
  <c r="AA59" i="1"/>
  <c r="AB59" i="1"/>
  <c r="AC59" i="1"/>
  <c r="AD59" i="1"/>
  <c r="AE59" i="1"/>
  <c r="AF59" i="1"/>
  <c r="AG59" i="1"/>
  <c r="Y57" i="1"/>
  <c r="Z57" i="1"/>
  <c r="AA57" i="1"/>
  <c r="AB57" i="1"/>
  <c r="AC57" i="1"/>
  <c r="AD57" i="1"/>
  <c r="AE57" i="1"/>
  <c r="AF57" i="1"/>
  <c r="AG57" i="1"/>
  <c r="X57" i="1"/>
  <c r="AG55" i="1"/>
</calcChain>
</file>

<file path=xl/sharedStrings.xml><?xml version="1.0" encoding="utf-8"?>
<sst xmlns="http://schemas.openxmlformats.org/spreadsheetml/2006/main" count="180" uniqueCount="148">
  <si>
    <t>Software Version</t>
  </si>
  <si>
    <t>3.11.19</t>
  </si>
  <si>
    <t>User Name:</t>
  </si>
  <si>
    <t>Gen5_User</t>
  </si>
  <si>
    <t>Experiment File Path:</t>
  </si>
  <si>
    <t>C:\Users\Public\Documents\Experiments\IM_LMF_IBEC\aB_LMF_DGC_pyr_concentrations.xpt</t>
  </si>
  <si>
    <t>Protocol File Path:</t>
  </si>
  <si>
    <t>C:\Users\Public\Documents\Protocols\IM_LMF_IBEC\alamarBlue_v2.prt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</si>
  <si>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</si>
  <si>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</si>
  <si>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</si>
  <si>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</si>
  <si>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</si>
  <si>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</si>
  <si>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</si>
  <si>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</si>
  <si>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</si>
  <si>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</si>
  <si>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</si>
  <si>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</si>
  <si>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</si>
  <si>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Plate Out/In</t>
  </si>
  <si>
    <t>in</t>
  </si>
  <si>
    <t>Shake</t>
  </si>
  <si>
    <t>Linear: 0:05 (MM:SS)</t>
  </si>
  <si>
    <t>Frequency: 567 cpm (3 mm)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</si>
  <si>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</si>
  <si>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</si>
  <si>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</si>
  <si>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</si>
  <si>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</si>
  <si>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0</t>
  </si>
  <si>
    <t>Light Source: Xenon Flash,  Lamp Energy: High</t>
  </si>
  <si>
    <t>Read Speed: Normal,  Delay: 100 msec,  Measurements/Data Point: 10</t>
  </si>
  <si>
    <t>Read Height: 7 mm</t>
  </si>
  <si>
    <t>Absorbance Endpoint</t>
  </si>
  <si>
    <t>Wavelengths:  570</t>
  </si>
  <si>
    <t>Read Speed: Normal,  Delay: 100 msec,  Measurements/Data Point: 8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</si>
  <si>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</si>
  <si>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</si>
  <si>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</si>
  <si>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</si>
  <si>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</si>
  <si>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</si>
  <si>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</si>
  <si>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</si>
  <si>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</si>
  <si>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</si>
  <si>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</si>
  <si>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</si>
  <si>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</si>
  <si>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</si>
  <si>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</si>
  <si>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</si>
  <si>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</si>
  <si>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</si>
  <si>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</si>
  <si>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</si>
  <si>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</si>
  <si>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</si>
  <si>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</si>
  <si>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</si>
  <si>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</si>
  <si>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</si>
  <si>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</si>
  <si>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</si>
  <si>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</si>
  <si>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</si>
  <si>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</si>
  <si>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</si>
  <si>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</si>
  <si>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</si>
  <si>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</si>
  <si>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</si>
  <si>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</si>
  <si>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</si>
  <si>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</si>
  <si>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</si>
  <si>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</si>
  <si>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</si>
  <si>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</si>
  <si>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</si>
  <si>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</si>
  <si>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</si>
  <si>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</si>
  <si>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</si>
  <si>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</si>
  <si>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</si>
  <si>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</si>
  <si>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</si>
  <si>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</si>
  <si>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</si>
  <si>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</si>
  <si>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</si>
  <si>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</si>
  <si>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</si>
  <si>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</si>
  <si>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</si>
  <si>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</si>
  <si>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</si>
  <si>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</si>
  <si>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</si>
  <si>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</si>
  <si>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</si>
  <si>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</si>
  <si>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</si>
  <si>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</si>
  <si>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</si>
  <si>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</si>
  <si>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</si>
  <si>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</si>
  <si>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</si>
  <si>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</si>
  <si>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</si>
  <si>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</si>
  <si>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</si>
  <si>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</si>
  <si>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</si>
  <si>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</si>
  <si>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</si>
  <si>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</si>
  <si>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</si>
  <si>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</si>
  <si>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</si>
  <si>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</si>
  <si>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</si>
  <si>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</si>
  <si>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</si>
  <si>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</si>
  <si>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</si>
  <si>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</si>
  <si>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</si>
  <si>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</si>
  <si>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</si>
  <si>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</si>
  <si>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</si>
  <si>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</si>
  <si>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</si>
  <si>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</si>
  <si>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</si>
  <si>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</si>
  <si>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</si>
  <si>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</si>
  <si>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</si>
  <si>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Results</t>
  </si>
  <si>
    <t>Actual Temperature:</t>
  </si>
  <si>
    <t>Read 1:560,590</t>
  </si>
  <si>
    <t>Read 2:570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</si>
</sst>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65"/>
  <sheetViews>
    <sheetView tabSelected="1" topLeftCell="E31" workbookViewId="0">
      <selection activeCell="X40" sqref="X40"/>
    </sheetView>
  </sheetViews>
  <sheetFormatPr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s="1">
        <v>45749</v>
      </c>
    </row>
    <row r="9" spans="1:2" x14ac:dyDescent="0.2">
      <c r="A9" t="s">
        <v>11</v>
      </c>
      <c r="B9" s="2">
        <v>0.58273148148148146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>
        <v>21122913</v>
      </c>
    </row>
    <row r="12" spans="1:2" x14ac:dyDescent="0.2">
      <c r="A12" t="s">
        <v>15</v>
      </c>
      <c r="B12" t="s">
        <v>16</v>
      </c>
    </row>
    <row r="14" spans="1:2" x14ac:dyDescent="0.2">
      <c r="A14" s="3" t="s">
        <v>17</v>
      </c>
      <c r="B14" s="4"/>
    </row>
    <row r="15" spans="1:2" x14ac:dyDescent="0.2">
      <c r="A15" t="s">
        <v>18</v>
      </c>
      <c r="B15" t="s">
        <v>19</v>
      </c>
    </row>
    <row r="16" spans="1:2" x14ac:dyDescent="0.2">
      <c r="A16" t="s">
        <v>20</v>
      </c>
    </row>
    <row r="17" spans="1:2" x14ac:dyDescent="0.2">
      <c r="A17" t="s">
        <v>21</v>
      </c>
      <c r="B17" t="s">
        <v>22</v>
      </c>
    </row>
    <row r="18" spans="1:2" x14ac:dyDescent="0.2">
      <c r="A18" t="s">
        <v>23</v>
      </c>
      <c r="B18" t="s">
        <v>24</v>
      </c>
    </row>
    <row r="19" spans="1:2" x14ac:dyDescent="0.2">
      <c r="B19" t="s">
        <v>25</v>
      </c>
    </row>
    <row r="20" spans="1:2" x14ac:dyDescent="0.2">
      <c r="A20" t="s">
        <v>26</v>
      </c>
      <c r="B20" t="s">
        <v>27</v>
      </c>
    </row>
    <row r="21" spans="1:2" x14ac:dyDescent="0.2"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A28" t="s">
        <v>26</v>
      </c>
      <c r="B28" t="s">
        <v>35</v>
      </c>
    </row>
    <row r="29" spans="1:2" x14ac:dyDescent="0.2">
      <c r="B29" t="s">
        <v>28</v>
      </c>
    </row>
    <row r="30" spans="1:2" x14ac:dyDescent="0.2">
      <c r="B30" t="s">
        <v>36</v>
      </c>
    </row>
    <row r="31" spans="1:2" x14ac:dyDescent="0.2">
      <c r="B31" t="s">
        <v>37</v>
      </c>
    </row>
    <row r="33" spans="1:15" x14ac:dyDescent="0.2">
      <c r="A33" s="3" t="s">
        <v>38</v>
      </c>
      <c r="B33" s="4"/>
    </row>
    <row r="35" spans="1:15" x14ac:dyDescent="0.2">
      <c r="B35" s="5"/>
      <c r="C35" s="6">
        <v>1</v>
      </c>
      <c r="D35" s="6">
        <v>2</v>
      </c>
      <c r="E35" s="6">
        <v>3</v>
      </c>
      <c r="F35" s="6">
        <v>4</v>
      </c>
      <c r="G35" s="6">
        <v>5</v>
      </c>
      <c r="H35" s="6">
        <v>6</v>
      </c>
      <c r="I35" s="6">
        <v>7</v>
      </c>
      <c r="J35" s="6">
        <v>8</v>
      </c>
      <c r="K35" s="6">
        <v>9</v>
      </c>
      <c r="L35" s="6">
        <v>10</v>
      </c>
      <c r="M35" s="6">
        <v>11</v>
      </c>
      <c r="N35" s="6">
        <v>12</v>
      </c>
    </row>
    <row r="36" spans="1:15" x14ac:dyDescent="0.2">
      <c r="B36" s="6" t="s">
        <v>39</v>
      </c>
      <c r="C36" s="7" t="s">
        <v>40</v>
      </c>
      <c r="D36" s="7" t="s">
        <v>41</v>
      </c>
      <c r="E36" s="7" t="s">
        <v>42</v>
      </c>
      <c r="F36" s="7" t="s">
        <v>43</v>
      </c>
      <c r="G36" s="7" t="s">
        <v>44</v>
      </c>
      <c r="H36" s="7" t="s">
        <v>45</v>
      </c>
      <c r="I36" s="7" t="s">
        <v>46</v>
      </c>
      <c r="J36" s="7" t="s">
        <v>47</v>
      </c>
      <c r="K36" s="7" t="s">
        <v>48</v>
      </c>
      <c r="L36" s="7" t="s">
        <v>49</v>
      </c>
      <c r="M36" s="7" t="s">
        <v>50</v>
      </c>
      <c r="N36" s="7" t="s">
        <v>51</v>
      </c>
      <c r="O36" s="8" t="s">
        <v>52</v>
      </c>
    </row>
    <row r="37" spans="1:15" x14ac:dyDescent="0.2">
      <c r="B37" s="6" t="s">
        <v>53</v>
      </c>
      <c r="C37" s="7" t="s">
        <v>54</v>
      </c>
      <c r="D37" s="7" t="s">
        <v>55</v>
      </c>
      <c r="E37" s="7" t="s">
        <v>56</v>
      </c>
      <c r="F37" s="7" t="s">
        <v>57</v>
      </c>
      <c r="G37" s="7" t="s">
        <v>58</v>
      </c>
      <c r="H37" s="7" t="s">
        <v>59</v>
      </c>
      <c r="I37" s="7" t="s">
        <v>60</v>
      </c>
      <c r="J37" s="7" t="s">
        <v>61</v>
      </c>
      <c r="K37" s="7" t="s">
        <v>62</v>
      </c>
      <c r="L37" s="7" t="s">
        <v>63</v>
      </c>
      <c r="M37" s="7" t="s">
        <v>64</v>
      </c>
      <c r="N37" s="7" t="s">
        <v>65</v>
      </c>
      <c r="O37" s="8" t="s">
        <v>52</v>
      </c>
    </row>
    <row r="38" spans="1:15" x14ac:dyDescent="0.2">
      <c r="B38" s="6" t="s">
        <v>66</v>
      </c>
      <c r="C38" s="7" t="s">
        <v>67</v>
      </c>
      <c r="D38" s="7" t="s">
        <v>68</v>
      </c>
      <c r="E38" s="7" t="s">
        <v>69</v>
      </c>
      <c r="F38" s="7" t="s">
        <v>70</v>
      </c>
      <c r="G38" s="7" t="s">
        <v>71</v>
      </c>
      <c r="H38" s="7" t="s">
        <v>72</v>
      </c>
      <c r="I38" s="7" t="s">
        <v>73</v>
      </c>
      <c r="J38" s="7" t="s">
        <v>74</v>
      </c>
      <c r="K38" s="7" t="s">
        <v>75</v>
      </c>
      <c r="L38" s="7" t="s">
        <v>76</v>
      </c>
      <c r="M38" s="7" t="s">
        <v>77</v>
      </c>
      <c r="N38" s="7" t="s">
        <v>78</v>
      </c>
      <c r="O38" s="8" t="s">
        <v>52</v>
      </c>
    </row>
    <row r="39" spans="1:15" x14ac:dyDescent="0.2">
      <c r="B39" s="6" t="s">
        <v>79</v>
      </c>
      <c r="C39" s="7" t="s">
        <v>80</v>
      </c>
      <c r="D39" s="7" t="s">
        <v>81</v>
      </c>
      <c r="E39" s="7" t="s">
        <v>82</v>
      </c>
      <c r="F39" s="7" t="s">
        <v>83</v>
      </c>
      <c r="G39" s="7" t="s">
        <v>84</v>
      </c>
      <c r="H39" s="7" t="s">
        <v>85</v>
      </c>
      <c r="I39" s="7" t="s">
        <v>86</v>
      </c>
      <c r="J39" s="7" t="s">
        <v>87</v>
      </c>
      <c r="K39" s="7" t="s">
        <v>88</v>
      </c>
      <c r="L39" s="7" t="s">
        <v>89</v>
      </c>
      <c r="M39" s="7" t="s">
        <v>90</v>
      </c>
      <c r="N39" s="7" t="s">
        <v>91</v>
      </c>
      <c r="O39" s="8" t="s">
        <v>52</v>
      </c>
    </row>
    <row r="40" spans="1:15" x14ac:dyDescent="0.2">
      <c r="B40" s="6" t="s">
        <v>92</v>
      </c>
      <c r="C40" s="7" t="s">
        <v>93</v>
      </c>
      <c r="D40" s="7" t="s">
        <v>94</v>
      </c>
      <c r="E40" s="7" t="s">
        <v>95</v>
      </c>
      <c r="F40" s="7" t="s">
        <v>96</v>
      </c>
      <c r="G40" s="7" t="s">
        <v>97</v>
      </c>
      <c r="H40" s="7" t="s">
        <v>98</v>
      </c>
      <c r="I40" s="7" t="s">
        <v>99</v>
      </c>
      <c r="J40" s="7" t="s">
        <v>100</v>
      </c>
      <c r="K40" s="7" t="s">
        <v>101</v>
      </c>
      <c r="L40" s="7" t="s">
        <v>102</v>
      </c>
      <c r="M40" s="7" t="s">
        <v>103</v>
      </c>
      <c r="N40" s="7" t="s">
        <v>104</v>
      </c>
      <c r="O40" s="8" t="s">
        <v>52</v>
      </c>
    </row>
    <row r="41" spans="1:15" x14ac:dyDescent="0.2">
      <c r="B41" s="6" t="s">
        <v>105</v>
      </c>
      <c r="C41" s="7" t="s">
        <v>106</v>
      </c>
      <c r="D41" s="7" t="s">
        <v>107</v>
      </c>
      <c r="E41" s="7" t="s">
        <v>108</v>
      </c>
      <c r="F41" s="7" t="s">
        <v>109</v>
      </c>
      <c r="G41" s="7" t="s">
        <v>110</v>
      </c>
      <c r="H41" s="7" t="s">
        <v>111</v>
      </c>
      <c r="I41" s="7" t="s">
        <v>112</v>
      </c>
      <c r="J41" s="7" t="s">
        <v>113</v>
      </c>
      <c r="K41" s="7" t="s">
        <v>114</v>
      </c>
      <c r="L41" s="7" t="s">
        <v>115</v>
      </c>
      <c r="M41" s="7" t="s">
        <v>116</v>
      </c>
      <c r="N41" s="7" t="s">
        <v>117</v>
      </c>
      <c r="O41" s="8" t="s">
        <v>52</v>
      </c>
    </row>
    <row r="42" spans="1:15" x14ac:dyDescent="0.2">
      <c r="B42" s="6" t="s">
        <v>118</v>
      </c>
      <c r="C42" s="7" t="s">
        <v>119</v>
      </c>
      <c r="D42" s="7" t="s">
        <v>120</v>
      </c>
      <c r="E42" s="7" t="s">
        <v>121</v>
      </c>
      <c r="F42" s="7" t="s">
        <v>122</v>
      </c>
      <c r="G42" s="7" t="s">
        <v>123</v>
      </c>
      <c r="H42" s="7" t="s">
        <v>124</v>
      </c>
      <c r="I42" s="7" t="s">
        <v>125</v>
      </c>
      <c r="J42" s="7" t="s">
        <v>126</v>
      </c>
      <c r="K42" s="7" t="s">
        <v>127</v>
      </c>
      <c r="L42" s="7" t="s">
        <v>128</v>
      </c>
      <c r="M42" s="7" t="s">
        <v>129</v>
      </c>
      <c r="N42" s="7" t="s">
        <v>130</v>
      </c>
      <c r="O42" s="8" t="s">
        <v>52</v>
      </c>
    </row>
    <row r="43" spans="1:15" x14ac:dyDescent="0.2">
      <c r="B43" s="6" t="s">
        <v>131</v>
      </c>
      <c r="C43" s="7" t="s">
        <v>132</v>
      </c>
      <c r="D43" s="7" t="s">
        <v>133</v>
      </c>
      <c r="E43" s="7" t="s">
        <v>134</v>
      </c>
      <c r="F43" s="7" t="s">
        <v>135</v>
      </c>
      <c r="G43" s="7" t="s">
        <v>136</v>
      </c>
      <c r="H43" s="7" t="s">
        <v>137</v>
      </c>
      <c r="I43" s="7" t="s">
        <v>138</v>
      </c>
      <c r="J43" s="7" t="s">
        <v>139</v>
      </c>
      <c r="K43" s="7" t="s">
        <v>140</v>
      </c>
      <c r="L43" s="7" t="s">
        <v>141</v>
      </c>
      <c r="M43" s="7" t="s">
        <v>142</v>
      </c>
      <c r="N43" s="7" t="s">
        <v>143</v>
      </c>
      <c r="O43" s="8" t="s">
        <v>52</v>
      </c>
    </row>
    <row r="45" spans="1:15" x14ac:dyDescent="0.2">
      <c r="A45" s="3" t="s">
        <v>144</v>
      </c>
      <c r="B45" s="4"/>
    </row>
    <row r="46" spans="1:15" x14ac:dyDescent="0.2">
      <c r="A46" t="s">
        <v>145</v>
      </c>
      <c r="B46">
        <v>24.8</v>
      </c>
    </row>
    <row r="47" spans="1:15" x14ac:dyDescent="0.2">
      <c r="A47" t="s">
        <v>145</v>
      </c>
      <c r="B47">
        <v>24.8</v>
      </c>
    </row>
    <row r="49" spans="2:33" x14ac:dyDescent="0.2">
      <c r="B49" s="5"/>
      <c r="C49" s="6">
        <v>1</v>
      </c>
      <c r="D49" s="6">
        <v>2</v>
      </c>
      <c r="E49" s="6">
        <v>3</v>
      </c>
      <c r="F49" s="6">
        <v>4</v>
      </c>
      <c r="G49" s="6">
        <v>5</v>
      </c>
      <c r="H49" s="6">
        <v>6</v>
      </c>
      <c r="I49" s="6">
        <v>7</v>
      </c>
      <c r="J49" s="6">
        <v>8</v>
      </c>
      <c r="K49" s="6">
        <v>9</v>
      </c>
      <c r="L49" s="6">
        <v>10</v>
      </c>
      <c r="M49" s="6">
        <v>11</v>
      </c>
      <c r="N49" s="6">
        <v>12</v>
      </c>
    </row>
    <row r="50" spans="2:33" ht="18" x14ac:dyDescent="0.2">
      <c r="B50" s="23" t="s">
        <v>39</v>
      </c>
      <c r="C50" s="9">
        <v>42</v>
      </c>
      <c r="D50" s="10">
        <v>554413</v>
      </c>
      <c r="E50" s="10">
        <v>555147</v>
      </c>
      <c r="F50" s="11">
        <v>531387</v>
      </c>
      <c r="G50" s="9">
        <v>49</v>
      </c>
      <c r="H50" s="12">
        <v>642463</v>
      </c>
      <c r="I50" s="10">
        <v>588030</v>
      </c>
      <c r="J50" s="10">
        <v>552894</v>
      </c>
      <c r="K50" s="9">
        <v>39</v>
      </c>
      <c r="L50" s="10">
        <v>562651</v>
      </c>
      <c r="M50" s="10">
        <v>587106</v>
      </c>
      <c r="N50" s="10">
        <v>566151</v>
      </c>
      <c r="O50" s="8" t="s">
        <v>146</v>
      </c>
      <c r="S50" s="19"/>
      <c r="T50" s="20"/>
      <c r="U50" s="20"/>
      <c r="X50" s="21">
        <v>0</v>
      </c>
      <c r="Y50" s="21">
        <v>0.79200000000000004</v>
      </c>
      <c r="Z50" s="21">
        <v>1.5840000000000001</v>
      </c>
      <c r="AA50" s="21">
        <v>3.137</v>
      </c>
      <c r="AB50" s="21">
        <v>6.1539999999999999</v>
      </c>
      <c r="AC50" s="21">
        <v>11.852</v>
      </c>
      <c r="AD50" s="21">
        <v>22.07</v>
      </c>
      <c r="AE50" s="21">
        <v>33.9</v>
      </c>
      <c r="AF50" s="21">
        <v>40</v>
      </c>
      <c r="AG50" s="21">
        <v>80</v>
      </c>
    </row>
    <row r="51" spans="2:33" x14ac:dyDescent="0.2">
      <c r="B51" s="24"/>
      <c r="C51" s="13">
        <v>4.9000000000000002E-2</v>
      </c>
      <c r="D51" s="14">
        <v>0.68300000000000005</v>
      </c>
      <c r="E51" s="15">
        <v>0.71499999999999997</v>
      </c>
      <c r="F51" s="14">
        <v>0.67800000000000005</v>
      </c>
      <c r="G51" s="13">
        <v>4.8000000000000001E-2</v>
      </c>
      <c r="H51" s="15">
        <v>0.73899999999999999</v>
      </c>
      <c r="I51" s="15">
        <v>0.70699999999999996</v>
      </c>
      <c r="J51" s="14">
        <v>0.68200000000000005</v>
      </c>
      <c r="K51" s="13">
        <v>4.7E-2</v>
      </c>
      <c r="L51" s="14">
        <v>0.66200000000000003</v>
      </c>
      <c r="M51" s="14">
        <v>0.67200000000000004</v>
      </c>
      <c r="N51" s="14">
        <v>0.66800000000000004</v>
      </c>
      <c r="O51" s="8" t="s">
        <v>147</v>
      </c>
      <c r="S51" s="20"/>
      <c r="T51" s="20"/>
      <c r="U51" s="20"/>
      <c r="X51" s="10">
        <v>554413</v>
      </c>
      <c r="Y51" s="11">
        <v>529554</v>
      </c>
      <c r="Z51" s="12">
        <v>605661</v>
      </c>
      <c r="AA51" s="16">
        <v>480340</v>
      </c>
      <c r="AB51" s="12">
        <v>642463</v>
      </c>
      <c r="AC51" s="11">
        <v>527149</v>
      </c>
      <c r="AD51" s="11">
        <v>531068</v>
      </c>
      <c r="AE51" s="10">
        <v>562651</v>
      </c>
      <c r="AF51" s="11">
        <v>549829</v>
      </c>
      <c r="AG51" s="11">
        <v>549829</v>
      </c>
    </row>
    <row r="52" spans="2:33" ht="18" x14ac:dyDescent="0.2">
      <c r="B52" s="23" t="s">
        <v>53</v>
      </c>
      <c r="C52" s="9">
        <v>45</v>
      </c>
      <c r="D52" s="9">
        <v>31</v>
      </c>
      <c r="E52" s="9">
        <v>44</v>
      </c>
      <c r="F52" s="9">
        <v>49</v>
      </c>
      <c r="G52" s="9">
        <v>43</v>
      </c>
      <c r="H52" s="9">
        <v>46</v>
      </c>
      <c r="I52" s="9">
        <v>51</v>
      </c>
      <c r="J52" s="9">
        <v>28</v>
      </c>
      <c r="K52" s="9">
        <v>46</v>
      </c>
      <c r="L52" s="9">
        <v>40</v>
      </c>
      <c r="M52" s="9">
        <v>41</v>
      </c>
      <c r="N52" s="9">
        <v>52</v>
      </c>
      <c r="O52" s="8" t="s">
        <v>146</v>
      </c>
      <c r="S52" s="20"/>
      <c r="T52" s="20"/>
      <c r="U52" s="20"/>
      <c r="X52" s="10">
        <v>555147</v>
      </c>
      <c r="Y52" s="11">
        <v>509640</v>
      </c>
      <c r="Z52" s="10">
        <v>556243</v>
      </c>
      <c r="AA52" s="16">
        <v>474555</v>
      </c>
      <c r="AB52" s="10">
        <v>588030</v>
      </c>
      <c r="AC52" s="12">
        <v>607219</v>
      </c>
      <c r="AD52" s="10">
        <v>574916</v>
      </c>
      <c r="AE52" s="10">
        <v>587106</v>
      </c>
      <c r="AF52" s="11">
        <v>535084</v>
      </c>
      <c r="AG52" s="11">
        <v>535084</v>
      </c>
    </row>
    <row r="53" spans="2:33" x14ac:dyDescent="0.2">
      <c r="B53" s="24"/>
      <c r="C53" s="13">
        <v>4.9000000000000002E-2</v>
      </c>
      <c r="D53" s="13">
        <v>4.5999999999999999E-2</v>
      </c>
      <c r="E53" s="13">
        <v>4.8000000000000001E-2</v>
      </c>
      <c r="F53" s="13">
        <v>4.7E-2</v>
      </c>
      <c r="G53" s="13">
        <v>4.5999999999999999E-2</v>
      </c>
      <c r="H53" s="13">
        <v>4.5999999999999999E-2</v>
      </c>
      <c r="I53" s="13">
        <v>4.5999999999999999E-2</v>
      </c>
      <c r="J53" s="13">
        <v>4.7E-2</v>
      </c>
      <c r="K53" s="13">
        <v>4.5999999999999999E-2</v>
      </c>
      <c r="L53" s="13">
        <v>4.7E-2</v>
      </c>
      <c r="M53" s="13">
        <v>4.5999999999999999E-2</v>
      </c>
      <c r="N53" s="13">
        <v>4.7E-2</v>
      </c>
      <c r="O53" s="8" t="s">
        <v>147</v>
      </c>
      <c r="S53" s="20"/>
      <c r="T53" s="20"/>
      <c r="U53" s="20"/>
      <c r="X53" s="11">
        <v>531387</v>
      </c>
      <c r="Y53" s="11">
        <v>532486</v>
      </c>
      <c r="Z53" s="11">
        <v>541980</v>
      </c>
      <c r="AA53" s="16">
        <v>492741</v>
      </c>
      <c r="AB53" s="10">
        <v>552894</v>
      </c>
      <c r="AC53" s="10">
        <v>591601</v>
      </c>
      <c r="AD53" s="10">
        <v>565548</v>
      </c>
      <c r="AE53" s="10">
        <v>566151</v>
      </c>
      <c r="AF53" s="10">
        <v>556839</v>
      </c>
      <c r="AG53" s="10">
        <v>556839</v>
      </c>
    </row>
    <row r="54" spans="2:33" ht="18" x14ac:dyDescent="0.2">
      <c r="B54" s="23" t="s">
        <v>66</v>
      </c>
      <c r="C54" s="9">
        <v>42</v>
      </c>
      <c r="D54" s="11">
        <v>529554</v>
      </c>
      <c r="E54" s="11">
        <v>509640</v>
      </c>
      <c r="F54" s="11">
        <v>532486</v>
      </c>
      <c r="G54" s="9">
        <v>44</v>
      </c>
      <c r="H54" s="11">
        <v>527149</v>
      </c>
      <c r="I54" s="12">
        <v>607219</v>
      </c>
      <c r="J54" s="10">
        <v>591601</v>
      </c>
      <c r="K54" s="9">
        <v>63</v>
      </c>
      <c r="L54" s="11">
        <v>549829</v>
      </c>
      <c r="M54" s="11">
        <v>535084</v>
      </c>
      <c r="N54" s="10">
        <v>556839</v>
      </c>
      <c r="O54" s="8" t="s">
        <v>146</v>
      </c>
      <c r="S54" s="20"/>
      <c r="T54" s="20"/>
      <c r="U54" s="19"/>
    </row>
    <row r="55" spans="2:33" x14ac:dyDescent="0.2">
      <c r="B55" s="24"/>
      <c r="C55" s="13">
        <v>4.5999999999999999E-2</v>
      </c>
      <c r="D55" s="14">
        <v>0.66500000000000004</v>
      </c>
      <c r="E55" s="14">
        <v>0.65600000000000003</v>
      </c>
      <c r="F55" s="14">
        <v>0.68899999999999995</v>
      </c>
      <c r="G55" s="13">
        <v>4.8000000000000001E-2</v>
      </c>
      <c r="H55" s="14">
        <v>0.66800000000000004</v>
      </c>
      <c r="I55" s="15">
        <v>0.71</v>
      </c>
      <c r="J55" s="15">
        <v>0.69899999999999995</v>
      </c>
      <c r="K55" s="13">
        <v>4.7E-2</v>
      </c>
      <c r="L55" s="14">
        <v>0.66200000000000003</v>
      </c>
      <c r="M55" s="15">
        <v>0.71</v>
      </c>
      <c r="N55" s="14">
        <v>0.68200000000000005</v>
      </c>
      <c r="O55" s="8" t="s">
        <v>147</v>
      </c>
      <c r="AG55">
        <f>AVERAGE(M64:N64)</f>
        <v>4435</v>
      </c>
    </row>
    <row r="56" spans="2:33" ht="18" x14ac:dyDescent="0.2">
      <c r="B56" s="23" t="s">
        <v>79</v>
      </c>
      <c r="C56" s="9">
        <v>41</v>
      </c>
      <c r="D56" s="9">
        <v>31</v>
      </c>
      <c r="E56" s="9">
        <v>43</v>
      </c>
      <c r="F56" s="9">
        <v>36</v>
      </c>
      <c r="G56" s="9">
        <v>42</v>
      </c>
      <c r="H56" s="9">
        <v>44</v>
      </c>
      <c r="I56" s="9">
        <v>35</v>
      </c>
      <c r="J56" s="9">
        <v>40</v>
      </c>
      <c r="K56" s="9">
        <v>35</v>
      </c>
      <c r="L56" s="9">
        <v>45</v>
      </c>
      <c r="M56" s="9">
        <v>41</v>
      </c>
      <c r="N56" s="9">
        <v>38</v>
      </c>
      <c r="O56" s="8" t="s">
        <v>146</v>
      </c>
      <c r="X56" s="21">
        <v>0</v>
      </c>
      <c r="Y56" s="21">
        <v>0.79200000000000004</v>
      </c>
      <c r="Z56" s="21">
        <v>1.5840000000000001</v>
      </c>
      <c r="AA56" s="21">
        <v>3.137</v>
      </c>
      <c r="AB56" s="21">
        <v>6.1539999999999999</v>
      </c>
      <c r="AC56" s="21">
        <v>11.852</v>
      </c>
      <c r="AD56" s="21">
        <v>22.07</v>
      </c>
      <c r="AE56" s="21">
        <v>33.9</v>
      </c>
      <c r="AF56" s="21">
        <v>40</v>
      </c>
      <c r="AG56" s="21">
        <v>80</v>
      </c>
    </row>
    <row r="57" spans="2:33" x14ac:dyDescent="0.2">
      <c r="B57" s="24"/>
      <c r="C57" s="13">
        <v>4.7E-2</v>
      </c>
      <c r="D57" s="13">
        <v>4.7E-2</v>
      </c>
      <c r="E57" s="13">
        <v>4.8000000000000001E-2</v>
      </c>
      <c r="F57" s="13">
        <v>4.7E-2</v>
      </c>
      <c r="G57" s="13">
        <v>4.7E-2</v>
      </c>
      <c r="H57" s="13">
        <v>4.7E-2</v>
      </c>
      <c r="I57" s="13">
        <v>4.7E-2</v>
      </c>
      <c r="J57" s="13">
        <v>4.7E-2</v>
      </c>
      <c r="K57" s="13">
        <v>4.7E-2</v>
      </c>
      <c r="L57" s="13">
        <v>4.8000000000000001E-2</v>
      </c>
      <c r="M57" s="13">
        <v>4.8000000000000001E-2</v>
      </c>
      <c r="N57" s="13">
        <v>4.7E-2</v>
      </c>
      <c r="O57" s="8" t="s">
        <v>147</v>
      </c>
      <c r="X57" s="22">
        <f>X51-$AG$55</f>
        <v>549978</v>
      </c>
      <c r="Y57" s="22">
        <f t="shared" ref="Y57:AG57" si="0">Y51-$AG$55</f>
        <v>525119</v>
      </c>
      <c r="Z57" s="22">
        <f t="shared" si="0"/>
        <v>601226</v>
      </c>
      <c r="AA57" s="22">
        <f t="shared" si="0"/>
        <v>475905</v>
      </c>
      <c r="AB57" s="22">
        <f t="shared" si="0"/>
        <v>638028</v>
      </c>
      <c r="AC57" s="22">
        <f t="shared" si="0"/>
        <v>522714</v>
      </c>
      <c r="AD57" s="22">
        <f t="shared" si="0"/>
        <v>526633</v>
      </c>
      <c r="AE57" s="22">
        <f t="shared" si="0"/>
        <v>558216</v>
      </c>
      <c r="AF57" s="22">
        <f t="shared" si="0"/>
        <v>545394</v>
      </c>
      <c r="AG57" s="22">
        <f t="shared" si="0"/>
        <v>545394</v>
      </c>
    </row>
    <row r="58" spans="2:33" ht="18" x14ac:dyDescent="0.2">
      <c r="B58" s="23" t="s">
        <v>92</v>
      </c>
      <c r="C58" s="9">
        <v>44</v>
      </c>
      <c r="D58" s="12">
        <v>605661</v>
      </c>
      <c r="E58" s="10">
        <v>556243</v>
      </c>
      <c r="F58" s="11">
        <v>541980</v>
      </c>
      <c r="G58" s="9">
        <v>33</v>
      </c>
      <c r="H58" s="10">
        <v>595598</v>
      </c>
      <c r="I58" s="12">
        <v>605254</v>
      </c>
      <c r="J58" s="10">
        <v>556922</v>
      </c>
      <c r="K58" s="9">
        <v>42</v>
      </c>
      <c r="L58" s="9">
        <v>34</v>
      </c>
      <c r="M58" s="9">
        <v>35</v>
      </c>
      <c r="N58" s="9">
        <v>37</v>
      </c>
      <c r="O58" s="8" t="s">
        <v>146</v>
      </c>
      <c r="X58" s="22">
        <f t="shared" ref="X58:AG58" si="1">X52-$AG$55</f>
        <v>550712</v>
      </c>
      <c r="Y58" s="22">
        <f t="shared" si="1"/>
        <v>505205</v>
      </c>
      <c r="Z58" s="22">
        <f t="shared" si="1"/>
        <v>551808</v>
      </c>
      <c r="AA58" s="22">
        <f t="shared" si="1"/>
        <v>470120</v>
      </c>
      <c r="AB58" s="22">
        <f t="shared" si="1"/>
        <v>583595</v>
      </c>
      <c r="AC58" s="22">
        <f t="shared" si="1"/>
        <v>602784</v>
      </c>
      <c r="AD58" s="22">
        <f t="shared" si="1"/>
        <v>570481</v>
      </c>
      <c r="AE58" s="22">
        <f t="shared" si="1"/>
        <v>582671</v>
      </c>
      <c r="AF58" s="22">
        <f t="shared" si="1"/>
        <v>530649</v>
      </c>
      <c r="AG58" s="22">
        <f t="shared" si="1"/>
        <v>530649</v>
      </c>
    </row>
    <row r="59" spans="2:33" x14ac:dyDescent="0.2">
      <c r="B59" s="24"/>
      <c r="C59" s="13">
        <v>4.7E-2</v>
      </c>
      <c r="D59" s="15">
        <v>0.73199999999999998</v>
      </c>
      <c r="E59" s="15">
        <v>0.71199999999999997</v>
      </c>
      <c r="F59" s="15">
        <v>0.72299999999999998</v>
      </c>
      <c r="G59" s="13">
        <v>4.8000000000000001E-2</v>
      </c>
      <c r="H59" s="15">
        <v>0.7</v>
      </c>
      <c r="I59" s="15">
        <v>0.73</v>
      </c>
      <c r="J59" s="15">
        <v>0.71199999999999997</v>
      </c>
      <c r="K59" s="13">
        <v>4.8000000000000001E-2</v>
      </c>
      <c r="L59" s="13">
        <v>4.8000000000000001E-2</v>
      </c>
      <c r="M59" s="13">
        <v>4.8000000000000001E-2</v>
      </c>
      <c r="N59" s="13">
        <v>4.8000000000000001E-2</v>
      </c>
      <c r="O59" s="8" t="s">
        <v>147</v>
      </c>
      <c r="X59" s="22">
        <f t="shared" ref="X59:AG59" si="2">X53-$AG$55</f>
        <v>526952</v>
      </c>
      <c r="Y59" s="22">
        <f t="shared" si="2"/>
        <v>528051</v>
      </c>
      <c r="Z59" s="22">
        <f t="shared" si="2"/>
        <v>537545</v>
      </c>
      <c r="AA59" s="22">
        <f t="shared" si="2"/>
        <v>488306</v>
      </c>
      <c r="AB59" s="22">
        <f t="shared" si="2"/>
        <v>548459</v>
      </c>
      <c r="AC59" s="22">
        <f t="shared" si="2"/>
        <v>587166</v>
      </c>
      <c r="AD59" s="22">
        <f t="shared" si="2"/>
        <v>561113</v>
      </c>
      <c r="AE59" s="22">
        <f t="shared" si="2"/>
        <v>561716</v>
      </c>
      <c r="AF59" s="22">
        <f t="shared" si="2"/>
        <v>552404</v>
      </c>
      <c r="AG59" s="22">
        <f t="shared" si="2"/>
        <v>552404</v>
      </c>
    </row>
    <row r="60" spans="2:33" ht="18" x14ac:dyDescent="0.2">
      <c r="B60" s="23" t="s">
        <v>105</v>
      </c>
      <c r="C60" s="9">
        <v>41</v>
      </c>
      <c r="D60" s="9">
        <v>36</v>
      </c>
      <c r="E60" s="9">
        <v>38</v>
      </c>
      <c r="F60" s="9">
        <v>43</v>
      </c>
      <c r="G60" s="9">
        <v>42</v>
      </c>
      <c r="H60" s="9">
        <v>34</v>
      </c>
      <c r="I60" s="9">
        <v>40</v>
      </c>
      <c r="J60" s="9">
        <v>34</v>
      </c>
      <c r="K60" s="9">
        <v>36</v>
      </c>
      <c r="L60" s="9">
        <v>36</v>
      </c>
      <c r="M60" s="9">
        <v>34</v>
      </c>
      <c r="N60" s="9">
        <v>45</v>
      </c>
      <c r="O60" s="8" t="s">
        <v>146</v>
      </c>
    </row>
    <row r="61" spans="2:33" x14ac:dyDescent="0.2">
      <c r="B61" s="24"/>
      <c r="C61" s="13">
        <v>4.7E-2</v>
      </c>
      <c r="D61" s="13">
        <v>4.7E-2</v>
      </c>
      <c r="E61" s="13">
        <v>4.7E-2</v>
      </c>
      <c r="F61" s="13">
        <v>4.7E-2</v>
      </c>
      <c r="G61" s="13">
        <v>4.8000000000000001E-2</v>
      </c>
      <c r="H61" s="13">
        <v>4.7E-2</v>
      </c>
      <c r="I61" s="13">
        <v>4.7E-2</v>
      </c>
      <c r="J61" s="13">
        <v>4.7E-2</v>
      </c>
      <c r="K61" s="13">
        <v>4.8000000000000001E-2</v>
      </c>
      <c r="L61" s="13">
        <v>4.8000000000000001E-2</v>
      </c>
      <c r="M61" s="13">
        <v>4.7E-2</v>
      </c>
      <c r="N61" s="13">
        <v>4.7E-2</v>
      </c>
      <c r="O61" s="8" t="s">
        <v>147</v>
      </c>
    </row>
    <row r="62" spans="2:33" ht="18" x14ac:dyDescent="0.2">
      <c r="B62" s="23" t="s">
        <v>118</v>
      </c>
      <c r="C62" s="9">
        <v>39</v>
      </c>
      <c r="D62" s="16">
        <v>480340</v>
      </c>
      <c r="E62" s="16">
        <v>474555</v>
      </c>
      <c r="F62" s="16">
        <v>492741</v>
      </c>
      <c r="G62" s="9">
        <v>53</v>
      </c>
      <c r="H62" s="11">
        <v>531068</v>
      </c>
      <c r="I62" s="10">
        <v>574916</v>
      </c>
      <c r="J62" s="10">
        <v>565548</v>
      </c>
      <c r="K62" s="9">
        <v>37</v>
      </c>
      <c r="L62" s="9">
        <v>37</v>
      </c>
      <c r="M62" s="9">
        <v>40</v>
      </c>
      <c r="N62" s="9">
        <v>34</v>
      </c>
      <c r="O62" s="8" t="s">
        <v>146</v>
      </c>
    </row>
    <row r="63" spans="2:33" x14ac:dyDescent="0.2">
      <c r="B63" s="24"/>
      <c r="C63" s="13">
        <v>4.8000000000000001E-2</v>
      </c>
      <c r="D63" s="17">
        <v>0.63800000000000001</v>
      </c>
      <c r="E63" s="14">
        <v>0.66300000000000003</v>
      </c>
      <c r="F63" s="14">
        <v>0.67500000000000004</v>
      </c>
      <c r="G63" s="13">
        <v>4.7E-2</v>
      </c>
      <c r="H63" s="15">
        <v>0.69299999999999995</v>
      </c>
      <c r="I63" s="15">
        <v>0.72</v>
      </c>
      <c r="J63" s="15">
        <v>0.72099999999999997</v>
      </c>
      <c r="K63" s="13">
        <v>4.7E-2</v>
      </c>
      <c r="L63" s="13">
        <v>4.7E-2</v>
      </c>
      <c r="M63" s="13">
        <v>4.7E-2</v>
      </c>
      <c r="N63" s="13">
        <v>4.5999999999999999E-2</v>
      </c>
      <c r="O63" s="8" t="s">
        <v>147</v>
      </c>
    </row>
    <row r="64" spans="2:33" ht="18" x14ac:dyDescent="0.2">
      <c r="B64" s="23" t="s">
        <v>131</v>
      </c>
      <c r="C64" s="9">
        <v>40</v>
      </c>
      <c r="D64" s="9">
        <v>39</v>
      </c>
      <c r="E64" s="9">
        <v>35</v>
      </c>
      <c r="F64" s="9">
        <v>32</v>
      </c>
      <c r="G64" s="9">
        <v>61</v>
      </c>
      <c r="H64" s="9">
        <v>46</v>
      </c>
      <c r="I64" s="9">
        <v>43</v>
      </c>
      <c r="J64" s="9">
        <v>32</v>
      </c>
      <c r="K64" s="9">
        <v>44</v>
      </c>
      <c r="L64" s="9">
        <v>40</v>
      </c>
      <c r="M64" s="9">
        <v>4394</v>
      </c>
      <c r="N64" s="9">
        <v>4476</v>
      </c>
      <c r="O64" s="8" t="s">
        <v>146</v>
      </c>
    </row>
    <row r="65" spans="2:15" x14ac:dyDescent="0.2">
      <c r="B65" s="24"/>
      <c r="C65" s="13">
        <v>4.5999999999999999E-2</v>
      </c>
      <c r="D65" s="13">
        <v>4.7E-2</v>
      </c>
      <c r="E65" s="13">
        <v>4.7E-2</v>
      </c>
      <c r="F65" s="13">
        <v>4.4999999999999998E-2</v>
      </c>
      <c r="G65" s="13">
        <v>4.7E-2</v>
      </c>
      <c r="H65" s="13">
        <v>4.7E-2</v>
      </c>
      <c r="I65" s="13">
        <v>5.1999999999999998E-2</v>
      </c>
      <c r="J65" s="13">
        <v>4.7E-2</v>
      </c>
      <c r="K65" s="13">
        <v>4.7E-2</v>
      </c>
      <c r="L65" s="13">
        <v>4.7E-2</v>
      </c>
      <c r="M65" s="18">
        <v>0.57899999999999996</v>
      </c>
      <c r="N65" s="18">
        <v>0.58299999999999996</v>
      </c>
      <c r="O65" s="8" t="s">
        <v>147</v>
      </c>
    </row>
  </sheetData>
  <mergeCells count="8">
    <mergeCell ref="B62:B63"/>
    <mergeCell ref="B64:B65"/>
    <mergeCell ref="B50:B51"/>
    <mergeCell ref="B52:B53"/>
    <mergeCell ref="B54:B55"/>
    <mergeCell ref="B56:B57"/>
    <mergeCell ref="B58:B59"/>
    <mergeCell ref="B60:B6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Lluís Mangas Florencio</cp:lastModifiedBy>
  <dcterms:created xsi:type="dcterms:W3CDTF">2011-01-18T20:51:17Z</dcterms:created>
  <dcterms:modified xsi:type="dcterms:W3CDTF">2025-04-02T14:21:26Z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