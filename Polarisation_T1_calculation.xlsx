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zagra/Library/Containers/com.apple.mail/Data/Library/Mail Downloads/54AAF4B8-3060-4645-92E2-1C7D1DF8AA7B/"/>
    </mc:Choice>
  </mc:AlternateContent>
  <xr:revisionPtr revIDLastSave="0" documentId="8_{7F8233A9-EB28-B349-9A2E-C6D888ECC702}" xr6:coauthVersionLast="47" xr6:coauthVersionMax="47" xr10:uidLastSave="{00000000-0000-0000-0000-000000000000}"/>
  <bookViews>
    <workbookView xWindow="-38400" yWindow="0" windowWidth="38400" windowHeight="21600" activeTab="3" xr2:uid="{E71F7E00-E340-0A46-965A-D4ED8FCAAE2D}"/>
  </bookViews>
  <sheets>
    <sheet name="Polarisation" sheetId="1" r:id="rId1"/>
    <sheet name="T1" sheetId="4" r:id="rId2"/>
    <sheet name="Sheet4" sheetId="5" r:id="rId3"/>
    <sheet name="T1_cos" sheetId="3" r:id="rId4"/>
    <sheet name="Sheet2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B7" i="4" l="1"/>
  <c r="E4" i="1"/>
  <c r="D4" i="3"/>
  <c r="F4" i="3" s="1"/>
  <c r="D26" i="2"/>
  <c r="C26" i="2"/>
  <c r="B26" i="2"/>
  <c r="E26" i="2"/>
  <c r="F26" i="2" s="1"/>
  <c r="G26" i="2" s="1"/>
  <c r="B25" i="2"/>
  <c r="E25" i="2" s="1"/>
  <c r="F25" i="2" s="1"/>
  <c r="G25" i="2" s="1"/>
  <c r="B30" i="2"/>
  <c r="E30" i="2" s="1"/>
  <c r="F30" i="2" s="1"/>
  <c r="G30" i="2" s="1"/>
  <c r="B28" i="2"/>
  <c r="E28" i="2" s="1"/>
  <c r="F28" i="2" s="1"/>
  <c r="G28" i="2" s="1"/>
  <c r="B27" i="2"/>
  <c r="E27" i="2" s="1"/>
  <c r="F27" i="2" s="1"/>
  <c r="G27" i="2" s="1"/>
  <c r="B29" i="2"/>
  <c r="E29" i="2" s="1"/>
  <c r="F29" i="2" s="1"/>
  <c r="G29" i="2" s="1"/>
  <c r="B31" i="2"/>
  <c r="E31" i="2" s="1"/>
  <c r="F31" i="2" s="1"/>
  <c r="G31" i="2" s="1"/>
  <c r="D27" i="2"/>
  <c r="D28" i="2"/>
  <c r="D30" i="2"/>
  <c r="D29" i="2"/>
  <c r="D31" i="2"/>
  <c r="D32" i="2"/>
  <c r="D33" i="2"/>
  <c r="D25" i="2"/>
  <c r="C27" i="2"/>
  <c r="C28" i="2"/>
  <c r="C30" i="2"/>
  <c r="C29" i="2"/>
  <c r="C31" i="2"/>
  <c r="C32" i="2"/>
  <c r="E32" i="2" s="1"/>
  <c r="F32" i="2" s="1"/>
  <c r="G32" i="2" s="1"/>
  <c r="C33" i="2"/>
  <c r="E33" i="2" s="1"/>
  <c r="F33" i="2" s="1"/>
  <c r="G33" i="2" s="1"/>
  <c r="C25" i="2"/>
  <c r="A26" i="2"/>
  <c r="A27" i="2"/>
  <c r="A28" i="2"/>
  <c r="A29" i="2"/>
  <c r="A30" i="2"/>
  <c r="A31" i="2"/>
  <c r="A32" i="2"/>
  <c r="A33" i="2"/>
  <c r="A25" i="2"/>
  <c r="M6" i="2"/>
  <c r="B6" i="2"/>
  <c r="I6" i="2" s="1"/>
  <c r="B15" i="2"/>
  <c r="I15" i="2" s="1"/>
  <c r="B14" i="2"/>
  <c r="I14" i="2" s="1"/>
  <c r="B7" i="2"/>
  <c r="I7" i="2" s="1"/>
  <c r="J20" i="2"/>
  <c r="B13" i="2"/>
  <c r="I13" i="2" s="1"/>
  <c r="B12" i="2"/>
  <c r="I12" i="2" s="1"/>
  <c r="B11" i="2"/>
  <c r="G11" i="2" s="1"/>
  <c r="B10" i="2"/>
  <c r="G10" i="2" s="1"/>
  <c r="B9" i="2"/>
  <c r="H9" i="2" s="1"/>
  <c r="B8" i="2"/>
  <c r="H8" i="2" s="1"/>
  <c r="M10" i="2"/>
  <c r="K7" i="2"/>
  <c r="B5" i="1"/>
  <c r="E12" i="1" s="1"/>
  <c r="B6" i="1"/>
  <c r="B8" i="1"/>
  <c r="B9" i="1"/>
  <c r="I11" i="2" l="1"/>
  <c r="G6" i="2"/>
  <c r="I10" i="2"/>
  <c r="H6" i="2"/>
  <c r="G4" i="3"/>
  <c r="D5" i="3"/>
  <c r="F5" i="3" s="1"/>
  <c r="D9" i="3"/>
  <c r="D15" i="3"/>
  <c r="D14" i="3"/>
  <c r="D13" i="3"/>
  <c r="D28" i="3"/>
  <c r="D20" i="3"/>
  <c r="D12" i="3"/>
  <c r="D8" i="3"/>
  <c r="F8" i="3" s="1"/>
  <c r="D7" i="3"/>
  <c r="F7" i="3" s="1"/>
  <c r="D6" i="3"/>
  <c r="F6" i="3" s="1"/>
  <c r="D27" i="3"/>
  <c r="D19" i="3"/>
  <c r="D11" i="3"/>
  <c r="D24" i="3"/>
  <c r="D23" i="3"/>
  <c r="D22" i="3"/>
  <c r="D36" i="3"/>
  <c r="D26" i="3"/>
  <c r="D18" i="3"/>
  <c r="D10" i="3"/>
  <c r="D16" i="3"/>
  <c r="D44" i="3"/>
  <c r="D21" i="3"/>
  <c r="D25" i="3"/>
  <c r="D17" i="3"/>
  <c r="D43" i="3"/>
  <c r="D35" i="3"/>
  <c r="D42" i="3"/>
  <c r="D34" i="3"/>
  <c r="D41" i="3"/>
  <c r="D33" i="3"/>
  <c r="D40" i="3"/>
  <c r="D32" i="3"/>
  <c r="D47" i="3"/>
  <c r="D39" i="3"/>
  <c r="D31" i="3"/>
  <c r="D46" i="3"/>
  <c r="D38" i="3"/>
  <c r="D30" i="3"/>
  <c r="D45" i="3"/>
  <c r="D37" i="3"/>
  <c r="D29" i="3"/>
  <c r="H11" i="2"/>
  <c r="H10" i="2"/>
  <c r="H7" i="2"/>
  <c r="G13" i="2"/>
  <c r="G9" i="2"/>
  <c r="G7" i="2"/>
  <c r="I9" i="2"/>
  <c r="I8" i="2"/>
  <c r="G8" i="2"/>
  <c r="G15" i="2"/>
  <c r="G14" i="2"/>
  <c r="H15" i="2"/>
  <c r="G12" i="2"/>
  <c r="H14" i="2"/>
  <c r="H13" i="2"/>
  <c r="H12" i="2"/>
  <c r="G24" i="3" l="1"/>
  <c r="F24" i="3"/>
  <c r="G32" i="3"/>
  <c r="F32" i="3"/>
  <c r="G28" i="3"/>
  <c r="F28" i="3"/>
  <c r="G37" i="3"/>
  <c r="F37" i="3"/>
  <c r="G21" i="3"/>
  <c r="F21" i="3"/>
  <c r="G44" i="3"/>
  <c r="F44" i="3"/>
  <c r="G34" i="3"/>
  <c r="F34" i="3"/>
  <c r="G42" i="3"/>
  <c r="F42" i="3"/>
  <c r="G10" i="3"/>
  <c r="F10" i="3"/>
  <c r="G19" i="3"/>
  <c r="F19" i="3"/>
  <c r="G13" i="3"/>
  <c r="F13" i="3"/>
  <c r="G33" i="3"/>
  <c r="F33" i="3"/>
  <c r="G23" i="3"/>
  <c r="F23" i="3"/>
  <c r="G38" i="3"/>
  <c r="F38" i="3"/>
  <c r="G20" i="3"/>
  <c r="F20" i="3"/>
  <c r="G16" i="3"/>
  <c r="F16" i="3"/>
  <c r="G31" i="3"/>
  <c r="F31" i="3"/>
  <c r="G39" i="3"/>
  <c r="F39" i="3"/>
  <c r="G35" i="3"/>
  <c r="F35" i="3"/>
  <c r="G18" i="3"/>
  <c r="F18" i="3"/>
  <c r="G27" i="3"/>
  <c r="F27" i="3"/>
  <c r="G14" i="3"/>
  <c r="F14" i="3"/>
  <c r="G30" i="3"/>
  <c r="F30" i="3"/>
  <c r="G12" i="3"/>
  <c r="F12" i="3"/>
  <c r="G41" i="3"/>
  <c r="F41" i="3"/>
  <c r="G46" i="3"/>
  <c r="F46" i="3"/>
  <c r="G11" i="3"/>
  <c r="F11" i="3"/>
  <c r="G29" i="3"/>
  <c r="F29" i="3"/>
  <c r="G47" i="3"/>
  <c r="F47" i="3"/>
  <c r="G43" i="3"/>
  <c r="F43" i="3"/>
  <c r="G26" i="3"/>
  <c r="F26" i="3"/>
  <c r="G15" i="3"/>
  <c r="F15" i="3"/>
  <c r="G36" i="3"/>
  <c r="F36" i="3"/>
  <c r="G9" i="3"/>
  <c r="F9" i="3"/>
  <c r="G17" i="3"/>
  <c r="F17" i="3"/>
  <c r="G45" i="3"/>
  <c r="F45" i="3"/>
  <c r="G40" i="3"/>
  <c r="F40" i="3"/>
  <c r="G25" i="3"/>
  <c r="F25" i="3"/>
  <c r="G22" i="3"/>
  <c r="F22" i="3"/>
  <c r="G6" i="3"/>
  <c r="G8" i="3"/>
  <c r="G7" i="3"/>
  <c r="G5" i="3"/>
</calcChain>
</file>

<file path=xl/sharedStrings.xml><?xml version="1.0" encoding="utf-8"?>
<sst xmlns="http://schemas.openxmlformats.org/spreadsheetml/2006/main" count="39" uniqueCount="38">
  <si>
    <t>Polarisation calculation</t>
  </si>
  <si>
    <t>B0 (T)</t>
  </si>
  <si>
    <t>h bar (Js)</t>
  </si>
  <si>
    <t>kB (m2 kg/(s2 K)</t>
  </si>
  <si>
    <t>T (K)</t>
  </si>
  <si>
    <t>gamma_C (rad/(s⋅T))</t>
  </si>
  <si>
    <t>gamma_C (MHz/T)</t>
  </si>
  <si>
    <t>Thermal Polarisation (P0)</t>
  </si>
  <si>
    <t>Polarisation (P)</t>
  </si>
  <si>
    <t>Navg_thermal</t>
  </si>
  <si>
    <t>S_HP</t>
  </si>
  <si>
    <t>S_thermal</t>
  </si>
  <si>
    <t>P0 (%) = hbar*gamma_C*B0/(2*kB*T) * 100</t>
  </si>
  <si>
    <t>FA_HP (deg)</t>
  </si>
  <si>
    <t>FA_thermal (deg)</t>
  </si>
  <si>
    <t>P0(3.35T, 1.2K)</t>
  </si>
  <si>
    <t>P0(9.4T, 293K)</t>
  </si>
  <si>
    <t>For reference, 13C P0</t>
  </si>
  <si>
    <t>P (%) = P0*(S_HP/(S_thermal/Navg))*(sin(FA_thermal)/sin(FA_HP))</t>
  </si>
  <si>
    <t>flip angle</t>
  </si>
  <si>
    <r>
      <rPr>
        <sz val="20"/>
        <color theme="0"/>
        <rFont val="Calibri"/>
        <family val="2"/>
        <scheme val="minor"/>
      </rPr>
      <t>T</t>
    </r>
    <r>
      <rPr>
        <vertAlign val="subscript"/>
        <sz val="20"/>
        <color theme="0"/>
        <rFont val="Calibri (Body)"/>
      </rPr>
      <t>1</t>
    </r>
    <r>
      <rPr>
        <sz val="20"/>
        <color theme="0"/>
        <rFont val="Calibri"/>
        <family val="2"/>
        <scheme val="minor"/>
      </rPr>
      <t xml:space="preserve"> Calculation</t>
    </r>
  </si>
  <si>
    <t>𝜹=</t>
  </si>
  <si>
    <t>𝜽=</t>
  </si>
  <si>
    <t xml:space="preserve">Tp = </t>
  </si>
  <si>
    <t>Tx =</t>
  </si>
  <si>
    <t xml:space="preserve">T1 = </t>
  </si>
  <si>
    <t>𝜽 = flip angle</t>
  </si>
  <si>
    <t>𝜹 = time between pulses</t>
  </si>
  <si>
    <t>Tx = T from the decay plot</t>
  </si>
  <si>
    <t>Time</t>
  </si>
  <si>
    <t>Integral</t>
  </si>
  <si>
    <t>Pulse effect</t>
  </si>
  <si>
    <t>Power</t>
  </si>
  <si>
    <t>Cos Power</t>
  </si>
  <si>
    <t>Normalized Integral</t>
  </si>
  <si>
    <t>T1r = 147 s</t>
  </si>
  <si>
    <t>T1a = 55 s</t>
  </si>
  <si>
    <t>Pulse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</si>
</sst>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202124"/>
      <name val="Arial"/>
      <family val="2"/>
    </font>
    <font>
      <b/>
      <sz val="16"/>
      <color theme="0"/>
      <name val="Calibri"/>
      <family val="2"/>
      <scheme val="minor"/>
    </font>
    <font>
      <sz val="12"/>
      <name val="Arial"/>
      <family val="2"/>
    </font>
    <font>
      <sz val="20"/>
      <color theme="0"/>
      <name val="Calibri"/>
      <family val="2"/>
      <scheme val="minor"/>
    </font>
    <font>
      <vertAlign val="subscript"/>
      <sz val="20"/>
      <color theme="0"/>
      <name val="Calibri (Body)"/>
    </font>
    <font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0" fillId="0" borderId="0" xfId="0" applyAlignment="1">
      <alignment horizontal="center"/>
    </xf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P90 measurement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Sheet4!$B$2:$B$22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33</c:v>
                </c:pt>
                <c:pt idx="19">
                  <c:v>35</c:v>
                </c:pt>
                <c:pt idx="20">
                  <c:v>37</c:v>
                </c:pt>
              </c:numCache>
            </c:numRef>
          </c:xVal>
          <c:yVal>
            <c:numRef>
              <c:f>Sheet4!$A$2:$A$22</c:f>
              <c:numCache>
                <c:formatCode>General</c:formatCode>
                <c:ptCount val="21"/>
                <c:pt idx="0">
                  <c:v>0</c:v>
                </c:pt>
                <c:pt idx="1">
                  <c:v>18.0885</c:v>
                </c:pt>
                <c:pt idx="2">
                  <c:v>69.870099999999994</c:v>
                </c:pt>
                <c:pt idx="3">
                  <c:v>125.82899999999999</c:v>
                </c:pt>
                <c:pt idx="4">
                  <c:v>196.07</c:v>
                </c:pt>
                <c:pt idx="5">
                  <c:v>200.64500000000001</c:v>
                </c:pt>
                <c:pt idx="6">
                  <c:v>235.20699999999999</c:v>
                </c:pt>
                <c:pt idx="7">
                  <c:v>259.68700000000001</c:v>
                </c:pt>
                <c:pt idx="8">
                  <c:v>294.25700000000001</c:v>
                </c:pt>
                <c:pt idx="9">
                  <c:v>270.41000000000003</c:v>
                </c:pt>
                <c:pt idx="10">
                  <c:v>271.13200000000001</c:v>
                </c:pt>
                <c:pt idx="11">
                  <c:v>258.048</c:v>
                </c:pt>
                <c:pt idx="12">
                  <c:v>235.59</c:v>
                </c:pt>
                <c:pt idx="13">
                  <c:v>185.49799999999999</c:v>
                </c:pt>
                <c:pt idx="14">
                  <c:v>150.61099999999999</c:v>
                </c:pt>
                <c:pt idx="15">
                  <c:v>101.437</c:v>
                </c:pt>
                <c:pt idx="16">
                  <c:v>91.488100000000003</c:v>
                </c:pt>
                <c:pt idx="17">
                  <c:v>60.891100000000002</c:v>
                </c:pt>
                <c:pt idx="18">
                  <c:v>9.5410699999999995</c:v>
                </c:pt>
                <c:pt idx="19">
                  <c:v>-5.8253599999999999</c:v>
                </c:pt>
                <c:pt idx="20">
                  <c:v>-59.551400000000001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1B-4348-BABC-905F99AC0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107040"/>
        <c:axId val="523388656"/>
      </c:scatterChart>
      <c:valAx>
        <c:axId val="56710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Pulse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23388656"/>
        <c:crosses val="autoZero"/>
        <c:crossBetween val="midCat"/>
      </c:valAx>
      <c:valAx>
        <c:axId val="52338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aseline="30000"/>
                  <a:t>13</a:t>
                </a:r>
                <a:r>
                  <a:rPr lang="en-GB"/>
                  <a:t>C Integral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56710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backward val="19"/>
            <c:dispRSqr val="0"/>
            <c:dispEq val="0"/>
          </c:trendline>
          <c:xVal>
            <c:numRef>
              <c:f>T1_cos!$B$4:$B$47</c:f>
              <c:numCache>
                <c:formatCode>General</c:formatCode>
                <c:ptCount val="44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31</c:v>
                </c:pt>
                <c:pt idx="7">
                  <c:v>36</c:v>
                </c:pt>
                <c:pt idx="8">
                  <c:v>41</c:v>
                </c:pt>
                <c:pt idx="9">
                  <c:v>46</c:v>
                </c:pt>
                <c:pt idx="10">
                  <c:v>51</c:v>
                </c:pt>
                <c:pt idx="11">
                  <c:v>57</c:v>
                </c:pt>
                <c:pt idx="12">
                  <c:v>62</c:v>
                </c:pt>
                <c:pt idx="13">
                  <c:v>67</c:v>
                </c:pt>
                <c:pt idx="14">
                  <c:v>72</c:v>
                </c:pt>
                <c:pt idx="15">
                  <c:v>77</c:v>
                </c:pt>
                <c:pt idx="16">
                  <c:v>82</c:v>
                </c:pt>
                <c:pt idx="17">
                  <c:v>87</c:v>
                </c:pt>
                <c:pt idx="18">
                  <c:v>92</c:v>
                </c:pt>
                <c:pt idx="19">
                  <c:v>97</c:v>
                </c:pt>
                <c:pt idx="20">
                  <c:v>103</c:v>
                </c:pt>
                <c:pt idx="21">
                  <c:v>108</c:v>
                </c:pt>
                <c:pt idx="22">
                  <c:v>113</c:v>
                </c:pt>
                <c:pt idx="23">
                  <c:v>118</c:v>
                </c:pt>
                <c:pt idx="24">
                  <c:v>123</c:v>
                </c:pt>
                <c:pt idx="25">
                  <c:v>128</c:v>
                </c:pt>
                <c:pt idx="26">
                  <c:v>133</c:v>
                </c:pt>
                <c:pt idx="27">
                  <c:v>138</c:v>
                </c:pt>
                <c:pt idx="28">
                  <c:v>143</c:v>
                </c:pt>
                <c:pt idx="29">
                  <c:v>149</c:v>
                </c:pt>
                <c:pt idx="30">
                  <c:v>154</c:v>
                </c:pt>
                <c:pt idx="31">
                  <c:v>159</c:v>
                </c:pt>
                <c:pt idx="32">
                  <c:v>164</c:v>
                </c:pt>
                <c:pt idx="33">
                  <c:v>169</c:v>
                </c:pt>
                <c:pt idx="34">
                  <c:v>174</c:v>
                </c:pt>
                <c:pt idx="35">
                  <c:v>179</c:v>
                </c:pt>
                <c:pt idx="36">
                  <c:v>184</c:v>
                </c:pt>
                <c:pt idx="37">
                  <c:v>189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</c:numCache>
            </c:numRef>
          </c:xVal>
          <c:yVal>
            <c:numRef>
              <c:f>T1_cos!$C$4:$C$47</c:f>
              <c:numCache>
                <c:formatCode>General</c:formatCode>
                <c:ptCount val="44"/>
                <c:pt idx="0">
                  <c:v>51855.6</c:v>
                </c:pt>
                <c:pt idx="1">
                  <c:v>47259.9</c:v>
                </c:pt>
                <c:pt idx="2">
                  <c:v>42871.8</c:v>
                </c:pt>
                <c:pt idx="3">
                  <c:v>38623.1</c:v>
                </c:pt>
                <c:pt idx="4">
                  <c:v>34991.699999999997</c:v>
                </c:pt>
                <c:pt idx="5">
                  <c:v>31804</c:v>
                </c:pt>
                <c:pt idx="6">
                  <c:v>28574.400000000001</c:v>
                </c:pt>
                <c:pt idx="7">
                  <c:v>25953.200000000001</c:v>
                </c:pt>
                <c:pt idx="8">
                  <c:v>23679.3</c:v>
                </c:pt>
                <c:pt idx="9">
                  <c:v>21480.9</c:v>
                </c:pt>
                <c:pt idx="10">
                  <c:v>19558.5</c:v>
                </c:pt>
                <c:pt idx="11">
                  <c:v>17656</c:v>
                </c:pt>
                <c:pt idx="12">
                  <c:v>16449.900000000001</c:v>
                </c:pt>
                <c:pt idx="13">
                  <c:v>14736.5</c:v>
                </c:pt>
                <c:pt idx="14">
                  <c:v>13467.2</c:v>
                </c:pt>
                <c:pt idx="15">
                  <c:v>12390.4</c:v>
                </c:pt>
                <c:pt idx="16">
                  <c:v>11184.2</c:v>
                </c:pt>
                <c:pt idx="17">
                  <c:v>10278.799999999999</c:v>
                </c:pt>
                <c:pt idx="18">
                  <c:v>9303.24</c:v>
                </c:pt>
                <c:pt idx="19">
                  <c:v>8426.2199999999993</c:v>
                </c:pt>
                <c:pt idx="20">
                  <c:v>7656.36</c:v>
                </c:pt>
                <c:pt idx="21">
                  <c:v>7063.69</c:v>
                </c:pt>
                <c:pt idx="22">
                  <c:v>6361.65</c:v>
                </c:pt>
                <c:pt idx="23">
                  <c:v>5836.83</c:v>
                </c:pt>
                <c:pt idx="24">
                  <c:v>5241.9399999999996</c:v>
                </c:pt>
                <c:pt idx="25">
                  <c:v>4822.3999999999996</c:v>
                </c:pt>
                <c:pt idx="26">
                  <c:v>4389.47</c:v>
                </c:pt>
                <c:pt idx="27">
                  <c:v>3990.14</c:v>
                </c:pt>
                <c:pt idx="28">
                  <c:v>3596.9</c:v>
                </c:pt>
                <c:pt idx="29">
                  <c:v>3302.58</c:v>
                </c:pt>
                <c:pt idx="30">
                  <c:v>2987.47</c:v>
                </c:pt>
                <c:pt idx="31">
                  <c:v>2742.25</c:v>
                </c:pt>
                <c:pt idx="32">
                  <c:v>2412.31</c:v>
                </c:pt>
                <c:pt idx="33">
                  <c:v>2228.5700000000002</c:v>
                </c:pt>
                <c:pt idx="34">
                  <c:v>2031.78</c:v>
                </c:pt>
                <c:pt idx="35">
                  <c:v>1870.6</c:v>
                </c:pt>
                <c:pt idx="36">
                  <c:v>1720.38</c:v>
                </c:pt>
                <c:pt idx="37">
                  <c:v>1560.73</c:v>
                </c:pt>
                <c:pt idx="38">
                  <c:v>1407.39</c:v>
                </c:pt>
                <c:pt idx="39">
                  <c:v>1316.44</c:v>
                </c:pt>
                <c:pt idx="40">
                  <c:v>1175.7</c:v>
                </c:pt>
                <c:pt idx="41">
                  <c:v>1115.77</c:v>
                </c:pt>
                <c:pt idx="42">
                  <c:v>991.44399999999996</c:v>
                </c:pt>
                <c:pt idx="43">
                  <c:v>889.12099999999998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DD-3549-AC53-B1A8138023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002448"/>
        <c:axId val="2115283232"/>
      </c:scatterChart>
      <c:valAx>
        <c:axId val="211500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115283232"/>
        <c:crosses val="autoZero"/>
        <c:crossBetween val="midCat"/>
      </c:valAx>
      <c:valAx>
        <c:axId val="21152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11500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backward val="5"/>
            <c:dispRSqr val="0"/>
            <c:dispEq val="1"/>
            <c:trendlineLbl>
              <c:layout>
                <c:manualLayout>
                  <c:x val="6.1880459731458982E-2"/>
                  <c:y val="-0.122928396026567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T1_cos!$B$4:$B$47</c:f>
              <c:numCache>
                <c:formatCode>General</c:formatCode>
                <c:ptCount val="44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31</c:v>
                </c:pt>
                <c:pt idx="7">
                  <c:v>36</c:v>
                </c:pt>
                <c:pt idx="8">
                  <c:v>41</c:v>
                </c:pt>
                <c:pt idx="9">
                  <c:v>46</c:v>
                </c:pt>
                <c:pt idx="10">
                  <c:v>51</c:v>
                </c:pt>
                <c:pt idx="11">
                  <c:v>57</c:v>
                </c:pt>
                <c:pt idx="12">
                  <c:v>62</c:v>
                </c:pt>
                <c:pt idx="13">
                  <c:v>67</c:v>
                </c:pt>
                <c:pt idx="14">
                  <c:v>72</c:v>
                </c:pt>
                <c:pt idx="15">
                  <c:v>77</c:v>
                </c:pt>
                <c:pt idx="16">
                  <c:v>82</c:v>
                </c:pt>
                <c:pt idx="17">
                  <c:v>87</c:v>
                </c:pt>
                <c:pt idx="18">
                  <c:v>92</c:v>
                </c:pt>
                <c:pt idx="19">
                  <c:v>97</c:v>
                </c:pt>
                <c:pt idx="20">
                  <c:v>103</c:v>
                </c:pt>
                <c:pt idx="21">
                  <c:v>108</c:v>
                </c:pt>
                <c:pt idx="22">
                  <c:v>113</c:v>
                </c:pt>
                <c:pt idx="23">
                  <c:v>118</c:v>
                </c:pt>
                <c:pt idx="24">
                  <c:v>123</c:v>
                </c:pt>
                <c:pt idx="25">
                  <c:v>128</c:v>
                </c:pt>
                <c:pt idx="26">
                  <c:v>133</c:v>
                </c:pt>
                <c:pt idx="27">
                  <c:v>138</c:v>
                </c:pt>
                <c:pt idx="28">
                  <c:v>143</c:v>
                </c:pt>
                <c:pt idx="29">
                  <c:v>149</c:v>
                </c:pt>
                <c:pt idx="30">
                  <c:v>154</c:v>
                </c:pt>
                <c:pt idx="31">
                  <c:v>159</c:v>
                </c:pt>
                <c:pt idx="32">
                  <c:v>164</c:v>
                </c:pt>
                <c:pt idx="33">
                  <c:v>169</c:v>
                </c:pt>
                <c:pt idx="34">
                  <c:v>174</c:v>
                </c:pt>
                <c:pt idx="35">
                  <c:v>179</c:v>
                </c:pt>
                <c:pt idx="36">
                  <c:v>184</c:v>
                </c:pt>
                <c:pt idx="37">
                  <c:v>189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</c:numCache>
            </c:numRef>
          </c:xVal>
          <c:yVal>
            <c:numRef>
              <c:f>T1_cos!$G$4:$G$47</c:f>
              <c:numCache>
                <c:formatCode>General</c:formatCode>
                <c:ptCount val="44"/>
                <c:pt idx="0">
                  <c:v>55183.576898401909</c:v>
                </c:pt>
                <c:pt idx="1">
                  <c:v>53520.623656033451</c:v>
                </c:pt>
                <c:pt idx="2">
                  <c:v>51667.121746334429</c:v>
                </c:pt>
                <c:pt idx="3">
                  <c:v>49534.052804555147</c:v>
                </c:pt>
                <c:pt idx="4">
                  <c:v>47756.881527343867</c:v>
                </c:pt>
                <c:pt idx="5">
                  <c:v>46192.008465426326</c:v>
                </c:pt>
                <c:pt idx="6">
                  <c:v>44164.813906452073</c:v>
                </c:pt>
                <c:pt idx="7">
                  <c:v>42687.859840367157</c:v>
                </c:pt>
                <c:pt idx="8">
                  <c:v>41447.325500493331</c:v>
                </c:pt>
                <c:pt idx="9">
                  <c:v>40012.373020022955</c:v>
                </c:pt>
                <c:pt idx="10">
                  <c:v>38769.621715339308</c:v>
                </c:pt>
                <c:pt idx="11">
                  <c:v>37244.532117132549</c:v>
                </c:pt>
                <c:pt idx="12">
                  <c:v>36927.307973275565</c:v>
                </c:pt>
                <c:pt idx="13">
                  <c:v>35204.07343374296</c:v>
                </c:pt>
                <c:pt idx="14">
                  <c:v>34236.555409117915</c:v>
                </c:pt>
                <c:pt idx="15">
                  <c:v>33520.637064799805</c:v>
                </c:pt>
                <c:pt idx="16">
                  <c:v>32199.271436714829</c:v>
                </c:pt>
                <c:pt idx="17">
                  <c:v>31491.817057703254</c:v>
                </c:pt>
                <c:pt idx="18">
                  <c:v>30332.186134244625</c:v>
                </c:pt>
                <c:pt idx="19">
                  <c:v>29235.899820573184</c:v>
                </c:pt>
                <c:pt idx="20">
                  <c:v>28269.63494616804</c:v>
                </c:pt>
                <c:pt idx="21">
                  <c:v>27755.155805507191</c:v>
                </c:pt>
                <c:pt idx="22">
                  <c:v>26600.879360291634</c:v>
                </c:pt>
                <c:pt idx="23">
                  <c:v>25972.720971704668</c:v>
                </c:pt>
                <c:pt idx="24">
                  <c:v>24822.563740404599</c:v>
                </c:pt>
                <c:pt idx="25">
                  <c:v>24301.439681782856</c:v>
                </c:pt>
                <c:pt idx="26">
                  <c:v>23539.381158024793</c:v>
                </c:pt>
                <c:pt idx="27">
                  <c:v>22771.166217069462</c:v>
                </c:pt>
                <c:pt idx="28">
                  <c:v>21844.378198733921</c:v>
                </c:pt>
                <c:pt idx="29">
                  <c:v>21344.149455424216</c:v>
                </c:pt>
                <c:pt idx="30">
                  <c:v>20546.755031439166</c:v>
                </c:pt>
                <c:pt idx="31">
                  <c:v>20070.626032277065</c:v>
                </c:pt>
                <c:pt idx="32">
                  <c:v>18788.892193765078</c:v>
                </c:pt>
                <c:pt idx="33">
                  <c:v>18471.770362893469</c:v>
                </c:pt>
                <c:pt idx="34">
                  <c:v>17921.448372963685</c:v>
                </c:pt>
                <c:pt idx="35">
                  <c:v>17558.666819827846</c:v>
                </c:pt>
                <c:pt idx="36">
                  <c:v>17184.98576389876</c:v>
                </c:pt>
                <c:pt idx="37">
                  <c:v>16590.778054792954</c:v>
                </c:pt>
                <c:pt idx="38">
                  <c:v>15920.900186289584</c:v>
                </c:pt>
                <c:pt idx="39">
                  <c:v>15847.779214271277</c:v>
                </c:pt>
                <c:pt idx="40">
                  <c:v>15061.84049255161</c:v>
                </c:pt>
                <c:pt idx="41">
                  <c:v>15211.442132868335</c:v>
                </c:pt>
                <c:pt idx="42">
                  <c:v>14383.947253427505</c:v>
                </c:pt>
                <c:pt idx="43">
                  <c:v>13727.294292662624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E-C643-9859-CF2EE5B3E5B2}"/>
            </c:ext>
          </c:extLst>
        </c:ser>
        <c:ser>
          <c:idx val="1"/>
          <c:order val="1"/>
          <c:tx>
            <c:v>apparent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5.5579131452168536E-3"/>
                  <c:y val="-7.27854168171116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ES"/>
                </a:p>
              </c:txPr>
            </c:trendlineLbl>
          </c:trendline>
          <c:xVal>
            <c:numRef>
              <c:f>T1_cos!$B$4:$B$47</c:f>
              <c:numCache>
                <c:formatCode>General</c:formatCode>
                <c:ptCount val="44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31</c:v>
                </c:pt>
                <c:pt idx="7">
                  <c:v>36</c:v>
                </c:pt>
                <c:pt idx="8">
                  <c:v>41</c:v>
                </c:pt>
                <c:pt idx="9">
                  <c:v>46</c:v>
                </c:pt>
                <c:pt idx="10">
                  <c:v>51</c:v>
                </c:pt>
                <c:pt idx="11">
                  <c:v>57</c:v>
                </c:pt>
                <c:pt idx="12">
                  <c:v>62</c:v>
                </c:pt>
                <c:pt idx="13">
                  <c:v>67</c:v>
                </c:pt>
                <c:pt idx="14">
                  <c:v>72</c:v>
                </c:pt>
                <c:pt idx="15">
                  <c:v>77</c:v>
                </c:pt>
                <c:pt idx="16">
                  <c:v>82</c:v>
                </c:pt>
                <c:pt idx="17">
                  <c:v>87</c:v>
                </c:pt>
                <c:pt idx="18">
                  <c:v>92</c:v>
                </c:pt>
                <c:pt idx="19">
                  <c:v>97</c:v>
                </c:pt>
                <c:pt idx="20">
                  <c:v>103</c:v>
                </c:pt>
                <c:pt idx="21">
                  <c:v>108</c:v>
                </c:pt>
                <c:pt idx="22">
                  <c:v>113</c:v>
                </c:pt>
                <c:pt idx="23">
                  <c:v>118</c:v>
                </c:pt>
                <c:pt idx="24">
                  <c:v>123</c:v>
                </c:pt>
                <c:pt idx="25">
                  <c:v>128</c:v>
                </c:pt>
                <c:pt idx="26">
                  <c:v>133</c:v>
                </c:pt>
                <c:pt idx="27">
                  <c:v>138</c:v>
                </c:pt>
                <c:pt idx="28">
                  <c:v>143</c:v>
                </c:pt>
                <c:pt idx="29">
                  <c:v>149</c:v>
                </c:pt>
                <c:pt idx="30">
                  <c:v>154</c:v>
                </c:pt>
                <c:pt idx="31">
                  <c:v>159</c:v>
                </c:pt>
                <c:pt idx="32">
                  <c:v>164</c:v>
                </c:pt>
                <c:pt idx="33">
                  <c:v>169</c:v>
                </c:pt>
                <c:pt idx="34">
                  <c:v>174</c:v>
                </c:pt>
                <c:pt idx="35">
                  <c:v>179</c:v>
                </c:pt>
                <c:pt idx="36">
                  <c:v>184</c:v>
                </c:pt>
                <c:pt idx="37">
                  <c:v>189</c:v>
                </c:pt>
                <c:pt idx="38">
                  <c:v>195</c:v>
                </c:pt>
                <c:pt idx="39">
                  <c:v>200</c:v>
                </c:pt>
                <c:pt idx="40">
                  <c:v>205</c:v>
                </c:pt>
                <c:pt idx="41">
                  <c:v>210</c:v>
                </c:pt>
                <c:pt idx="42">
                  <c:v>215</c:v>
                </c:pt>
                <c:pt idx="43">
                  <c:v>220</c:v>
                </c:pt>
              </c:numCache>
            </c:numRef>
          </c:xVal>
          <c:yVal>
            <c:numRef>
              <c:f>T1_cos!$C$4:$C$47</c:f>
              <c:numCache>
                <c:formatCode>General</c:formatCode>
                <c:ptCount val="44"/>
                <c:pt idx="0">
                  <c:v>51855.6</c:v>
                </c:pt>
                <c:pt idx="1">
                  <c:v>47259.9</c:v>
                </c:pt>
                <c:pt idx="2">
                  <c:v>42871.8</c:v>
                </c:pt>
                <c:pt idx="3">
                  <c:v>38623.1</c:v>
                </c:pt>
                <c:pt idx="4">
                  <c:v>34991.699999999997</c:v>
                </c:pt>
                <c:pt idx="5">
                  <c:v>31804</c:v>
                </c:pt>
                <c:pt idx="6">
                  <c:v>28574.400000000001</c:v>
                </c:pt>
                <c:pt idx="7">
                  <c:v>25953.200000000001</c:v>
                </c:pt>
                <c:pt idx="8">
                  <c:v>23679.3</c:v>
                </c:pt>
                <c:pt idx="9">
                  <c:v>21480.9</c:v>
                </c:pt>
                <c:pt idx="10">
                  <c:v>19558.5</c:v>
                </c:pt>
                <c:pt idx="11">
                  <c:v>17656</c:v>
                </c:pt>
                <c:pt idx="12">
                  <c:v>16449.900000000001</c:v>
                </c:pt>
                <c:pt idx="13">
                  <c:v>14736.5</c:v>
                </c:pt>
                <c:pt idx="14">
                  <c:v>13467.2</c:v>
                </c:pt>
                <c:pt idx="15">
                  <c:v>12390.4</c:v>
                </c:pt>
                <c:pt idx="16">
                  <c:v>11184.2</c:v>
                </c:pt>
                <c:pt idx="17">
                  <c:v>10278.799999999999</c:v>
                </c:pt>
                <c:pt idx="18">
                  <c:v>9303.24</c:v>
                </c:pt>
                <c:pt idx="19">
                  <c:v>8426.2199999999993</c:v>
                </c:pt>
                <c:pt idx="20">
                  <c:v>7656.36</c:v>
                </c:pt>
                <c:pt idx="21">
                  <c:v>7063.69</c:v>
                </c:pt>
                <c:pt idx="22">
                  <c:v>6361.65</c:v>
                </c:pt>
                <c:pt idx="23">
                  <c:v>5836.83</c:v>
                </c:pt>
                <c:pt idx="24">
                  <c:v>5241.9399999999996</c:v>
                </c:pt>
                <c:pt idx="25">
                  <c:v>4822.3999999999996</c:v>
                </c:pt>
                <c:pt idx="26">
                  <c:v>4389.47</c:v>
                </c:pt>
                <c:pt idx="27">
                  <c:v>3990.14</c:v>
                </c:pt>
                <c:pt idx="28">
                  <c:v>3596.9</c:v>
                </c:pt>
                <c:pt idx="29">
                  <c:v>3302.58</c:v>
                </c:pt>
                <c:pt idx="30">
                  <c:v>2987.47</c:v>
                </c:pt>
                <c:pt idx="31">
                  <c:v>2742.25</c:v>
                </c:pt>
                <c:pt idx="32">
                  <c:v>2412.31</c:v>
                </c:pt>
                <c:pt idx="33">
                  <c:v>2228.5700000000002</c:v>
                </c:pt>
                <c:pt idx="34">
                  <c:v>2031.78</c:v>
                </c:pt>
                <c:pt idx="35">
                  <c:v>1870.6</c:v>
                </c:pt>
                <c:pt idx="36">
                  <c:v>1720.38</c:v>
                </c:pt>
                <c:pt idx="37">
                  <c:v>1560.73</c:v>
                </c:pt>
                <c:pt idx="38">
                  <c:v>1407.39</c:v>
                </c:pt>
                <c:pt idx="39">
                  <c:v>1316.44</c:v>
                </c:pt>
                <c:pt idx="40">
                  <c:v>1175.7</c:v>
                </c:pt>
                <c:pt idx="41">
                  <c:v>1115.77</c:v>
                </c:pt>
                <c:pt idx="42">
                  <c:v>991.44399999999996</c:v>
                </c:pt>
                <c:pt idx="43">
                  <c:v>889.12099999999998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E2-8241-A602-4ABCDBB64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239280"/>
        <c:axId val="281525967"/>
      </c:scatterChart>
      <c:valAx>
        <c:axId val="21252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81525967"/>
        <c:crosses val="autoZero"/>
        <c:crossBetween val="midCat"/>
      </c:valAx>
      <c:valAx>
        <c:axId val="28152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21252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107950</xdr:colOff>
      <xdr:row>6</xdr:row>
      <xdr:rowOff>63500</xdr:rowOff>
    </xdr:from>
    <xdr:ext cx="1193800" cy="376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E03D43-7FC3-D169-53A7-56457E809BE8}"/>
                </a:ext>
              </a:extLst>
            </xdr:cNvPr>
            <xdr:cNvSpPr txBox="1"/>
          </xdr:nvSpPr>
          <xdr:spPr>
            <a:xfrm>
              <a:off x="2584450" y="1282700"/>
              <a:ext cx="1193800" cy="37600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en-GB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𝑇𝑥</m:t>
                      </m:r>
                    </m:den>
                  </m:f>
                  <m:r>
                    <a:rPr lang="es-ES" sz="1600" b="0" i="1">
                      <a:latin typeface="Cambria Math" panose="02040503050406030204" pitchFamily="18" charset="0"/>
                    </a:rPr>
                    <m:t>=</m:t>
                  </m:r>
                  <m:f>
                    <m:fPr>
                      <m:ctrlPr>
                        <a:rPr lang="es-ES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𝑇𝑝</m:t>
                      </m:r>
                    </m:den>
                  </m:f>
                  <m:r>
                    <a:rPr lang="es-ES" sz="1600" b="0" i="1">
                      <a:latin typeface="Cambria Math" panose="02040503050406030204" pitchFamily="18" charset="0"/>
                    </a:rPr>
                    <m:t>+</m:t>
                  </m:r>
                  <m:f>
                    <m:fPr>
                      <m:ctrlPr>
                        <a:rPr lang="es-ES" sz="1600" b="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s-ES" sz="16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s-ES" sz="1600" b="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s-ES" sz="1600" b="0" i="1">
                          <a:latin typeface="Cambria Math" panose="02040503050406030204" pitchFamily="18" charset="0"/>
                        </a:rPr>
                        <m:t>1</m:t>
                      </m:r>
                    </m:den>
                  </m:f>
                </m:oMath>
              </a14:m>
              <a:r>
                <a:rPr lang="en-GB" sz="1600"/>
                <a:t>  </a:t>
              </a:r>
              <a:endParaRPr lang="en-GB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BE03D43-7FC3-D169-53A7-56457E809BE8}"/>
                </a:ext>
              </a:extLst>
            </xdr:cNvPr>
            <xdr:cNvSpPr txBox="1"/>
          </xdr:nvSpPr>
          <xdr:spPr>
            <a:xfrm>
              <a:off x="2584450" y="1282700"/>
              <a:ext cx="1193800" cy="376000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600" b="0" i="0">
                  <a:latin typeface="Cambria Math" panose="02040503050406030204" pitchFamily="18" charset="0"/>
                </a:rPr>
                <a:t>1</a:t>
              </a:r>
              <a:r>
                <a:rPr lang="en-GB" sz="1600" b="0" i="0">
                  <a:latin typeface="Cambria Math" panose="02040503050406030204" pitchFamily="18" charset="0"/>
                </a:rPr>
                <a:t>/</a:t>
              </a:r>
              <a:r>
                <a:rPr lang="es-ES" sz="1600" b="0" i="0">
                  <a:latin typeface="Cambria Math" panose="02040503050406030204" pitchFamily="18" charset="0"/>
                </a:rPr>
                <a:t>𝑇𝑥=1/𝑇𝑝+1/𝑇1</a:t>
              </a:r>
              <a:r>
                <a:rPr lang="en-GB" sz="1600"/>
                <a:t>  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3</xdr:col>
      <xdr:colOff>107950</xdr:colOff>
      <xdr:row>3</xdr:row>
      <xdr:rowOff>158750</xdr:rowOff>
    </xdr:from>
    <xdr:ext cx="1043363" cy="3518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7917501-903F-3083-B755-FC1B2F4050DD}"/>
                </a:ext>
              </a:extLst>
            </xdr:cNvPr>
            <xdr:cNvSpPr txBox="1"/>
          </xdr:nvSpPr>
          <xdr:spPr>
            <a:xfrm>
              <a:off x="2584450" y="768350"/>
              <a:ext cx="1043363" cy="35189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𝑇𝑝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𝛿</m:t>
                        </m:r>
                      </m:num>
                      <m:den>
                        <m:r>
                          <m:rPr>
                            <m:sty m:val="p"/>
                          </m:rPr>
                          <a:rPr lang="es-ES" sz="1100" b="0" i="0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⁡(</m:t>
                        </m:r>
                        <m:func>
                          <m:func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s-ES" sz="1100" b="0" i="0">
                                <a:latin typeface="Cambria Math" panose="02040503050406030204" pitchFamily="18" charset="0"/>
                              </a:rPr>
                              <m:t>cos</m:t>
                            </m:r>
                          </m:fName>
                          <m:e>
                            <m:d>
                              <m:dPr>
                                <m:ctrlP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𝜃</m:t>
                                </m:r>
                              </m:e>
                            </m:d>
                          </m:e>
                        </m:func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)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77917501-903F-3083-B755-FC1B2F4050DD}"/>
                </a:ext>
              </a:extLst>
            </xdr:cNvPr>
            <xdr:cNvSpPr txBox="1"/>
          </xdr:nvSpPr>
          <xdr:spPr>
            <a:xfrm>
              <a:off x="2584450" y="768350"/>
              <a:ext cx="1043363" cy="351891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𝑇𝑝= 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𝛿/(</a:t>
              </a:r>
              <a:r>
                <a:rPr lang="es-ES" sz="1100" b="0" i="0">
                  <a:latin typeface="Cambria Math" panose="02040503050406030204" pitchFamily="18" charset="0"/>
                </a:rPr>
                <a:t>ln⁡(cos⁡(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𝜃)))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19</xdr:row>
      <xdr:rowOff>139700</xdr:rowOff>
    </xdr:from>
    <xdr:to>
      <xdr:col>15</xdr:col>
      <xdr:colOff>38100</xdr:colOff>
      <xdr:row>33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9A8762-181B-E4DC-2C6E-319D71B44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463550</xdr:colOff>
      <xdr:row>6</xdr:row>
      <xdr:rowOff>88900</xdr:rowOff>
    </xdr:from>
    <xdr:to>
      <xdr:col>14</xdr:col>
      <xdr:colOff>78316</xdr:colOff>
      <xdr:row>19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A05BD3-F0D5-F015-B1AC-C96C317FF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632663</xdr:colOff>
      <xdr:row>22</xdr:row>
      <xdr:rowOff>54012</xdr:rowOff>
    </xdr:from>
    <xdr:to>
      <xdr:col>14</xdr:col>
      <xdr:colOff>214585</xdr:colOff>
      <xdr:row>35</xdr:row>
      <xdr:rowOff>140431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E0C3D1-C474-07F0-58E6-564F70201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1DF0-99FE-DA47-9C9A-7BD8436E297B}">
  <dimension ref="A1:I16"/>
  <sheetViews>
    <sheetView zoomScale="125" workbookViewId="0">
      <selection activeCell="B12" sqref="B12"/>
    </sheetView>
  </sheetViews>
  <sheetFormatPr baseColWidth="10" defaultRowHeight="16" x14ac:dyDescent="0.2"/>
  <cols>
    <col min="1" max="1" width="21.1640625" customWidth="1"/>
    <col min="3" max="3" width="4.1640625" customWidth="1"/>
    <col min="4" max="4" width="57.33203125" customWidth="1"/>
    <col min="5" max="5" width="12.1640625" bestFit="1" customWidth="1"/>
    <col min="7" max="7" width="18.5" customWidth="1"/>
    <col min="8" max="8" width="13.33203125" customWidth="1"/>
  </cols>
  <sheetData>
    <row r="1" spans="1:9" ht="21" x14ac:dyDescent="0.25">
      <c r="A1" s="3" t="s">
        <v>0</v>
      </c>
      <c r="B1" s="2"/>
      <c r="C1" s="2"/>
      <c r="D1" s="2"/>
      <c r="E1" s="2"/>
    </row>
    <row r="2" spans="1:9" x14ac:dyDescent="0.2">
      <c r="A2" s="2"/>
      <c r="B2" s="2"/>
      <c r="C2" s="2"/>
      <c r="D2" s="2"/>
      <c r="E2" s="2"/>
    </row>
    <row r="3" spans="1:9" ht="17" thickBot="1" x14ac:dyDescent="0.25">
      <c r="A3" s="4" t="s">
        <v>7</v>
      </c>
      <c r="B3" s="5"/>
      <c r="C3" s="5"/>
      <c r="D3" s="5"/>
      <c r="E3" s="5"/>
    </row>
    <row r="4" spans="1:9" x14ac:dyDescent="0.2">
      <c r="A4" s="6" t="s">
        <v>1</v>
      </c>
      <c r="B4" s="6">
        <v>1.4</v>
      </c>
      <c r="D4" s="7" t="s">
        <v>12</v>
      </c>
      <c r="E4" s="7">
        <f>B5*B6*B4/(2*B8*B9)*100</f>
        <v>1.1559807854137448E-4</v>
      </c>
      <c r="G4" s="9" t="s">
        <v>17</v>
      </c>
      <c r="H4" s="10" t="s">
        <v>16</v>
      </c>
      <c r="I4" s="11">
        <v>8.1999999999999998E-4</v>
      </c>
    </row>
    <row r="5" spans="1:9" ht="17" thickBot="1" x14ac:dyDescent="0.25">
      <c r="A5" t="s">
        <v>2</v>
      </c>
      <c r="B5">
        <f>1.05*10^-(34)</f>
        <v>1.0500000000000003E-34</v>
      </c>
      <c r="G5" s="12"/>
      <c r="H5" s="13" t="s">
        <v>15</v>
      </c>
      <c r="I5" s="14">
        <v>0.08</v>
      </c>
    </row>
    <row r="6" spans="1:9" x14ac:dyDescent="0.2">
      <c r="A6" t="s">
        <v>5</v>
      </c>
      <c r="B6">
        <f>67.2828*10^6</f>
        <v>67282800</v>
      </c>
    </row>
    <row r="7" spans="1:9" x14ac:dyDescent="0.2">
      <c r="A7" t="s">
        <v>6</v>
      </c>
      <c r="B7">
        <v>10.708399999999999</v>
      </c>
    </row>
    <row r="8" spans="1:9" ht="18" x14ac:dyDescent="0.2">
      <c r="A8" t="s">
        <v>3</v>
      </c>
      <c r="B8">
        <f>1.38*10^-(23)</f>
        <v>1.3800000000000001E-23</v>
      </c>
      <c r="C8" s="1"/>
      <c r="D8" s="1"/>
    </row>
    <row r="9" spans="1:9" x14ac:dyDescent="0.2">
      <c r="A9" s="6" t="s">
        <v>4</v>
      </c>
      <c r="B9" s="6">
        <f>273+37</f>
        <v>310</v>
      </c>
    </row>
    <row r="11" spans="1:9" x14ac:dyDescent="0.2">
      <c r="A11" s="4" t="s">
        <v>8</v>
      </c>
      <c r="B11" s="5"/>
      <c r="C11" s="5"/>
      <c r="D11" s="5"/>
      <c r="E11" s="5"/>
    </row>
    <row r="12" spans="1:9" x14ac:dyDescent="0.2">
      <c r="A12" s="7" t="s">
        <v>13</v>
      </c>
      <c r="B12" s="7">
        <v>20</v>
      </c>
      <c r="D12" s="8" t="s">
        <v>18</v>
      </c>
      <c r="E12" s="8">
        <f>E4*(B13/(B16/B15))*(SIN(B14*2*PI()/360)/(SIN(B12*2*PI()/360)))</f>
        <v>12.614975745384527</v>
      </c>
    </row>
    <row r="13" spans="1:9" x14ac:dyDescent="0.2">
      <c r="A13" s="7" t="s">
        <v>10</v>
      </c>
      <c r="B13" s="7">
        <v>529825</v>
      </c>
    </row>
    <row r="14" spans="1:9" x14ac:dyDescent="0.2">
      <c r="A14" s="7" t="s">
        <v>14</v>
      </c>
      <c r="B14" s="7">
        <v>90</v>
      </c>
    </row>
    <row r="15" spans="1:9" x14ac:dyDescent="0.2">
      <c r="A15" s="7" t="s">
        <v>9</v>
      </c>
      <c r="B15" s="7">
        <v>128</v>
      </c>
    </row>
    <row r="16" spans="1:9" x14ac:dyDescent="0.2">
      <c r="A16" s="7" t="s">
        <v>11</v>
      </c>
      <c r="B16" s="7">
        <v>1817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4120-55FB-9B4C-B88C-FCD5450EFB50}">
  <dimension ref="A1:E13"/>
  <sheetViews>
    <sheetView zoomScale="200" workbookViewId="0">
      <selection activeCell="B6" sqref="B6"/>
    </sheetView>
  </sheetViews>
  <sheetFormatPr baseColWidth="10" defaultRowHeight="16" x14ac:dyDescent="0.2"/>
  <sheetData>
    <row r="1" spans="1:5" x14ac:dyDescent="0.2">
      <c r="A1" s="17" t="s">
        <v>20</v>
      </c>
      <c r="B1" s="18"/>
      <c r="C1" s="18"/>
      <c r="D1" s="18"/>
      <c r="E1" s="18"/>
    </row>
    <row r="2" spans="1:5" x14ac:dyDescent="0.2">
      <c r="A2" s="18"/>
      <c r="B2" s="18"/>
      <c r="C2" s="18"/>
      <c r="D2" s="18"/>
      <c r="E2" s="18"/>
    </row>
    <row r="3" spans="1:5" x14ac:dyDescent="0.2">
      <c r="A3" s="16" t="s">
        <v>21</v>
      </c>
      <c r="B3">
        <v>5</v>
      </c>
    </row>
    <row r="4" spans="1:5" x14ac:dyDescent="0.2">
      <c r="A4" s="16" t="s">
        <v>22</v>
      </c>
      <c r="B4">
        <v>20</v>
      </c>
    </row>
    <row r="5" spans="1:5" x14ac:dyDescent="0.2">
      <c r="A5" s="16" t="s">
        <v>23</v>
      </c>
      <c r="B5">
        <f>ABS(B3/(LN(COS(PI()/(2*(90/B4))))))</f>
        <v>80.382677674834824</v>
      </c>
    </row>
    <row r="6" spans="1:5" x14ac:dyDescent="0.2">
      <c r="A6" s="16" t="s">
        <v>24</v>
      </c>
      <c r="B6">
        <v>62</v>
      </c>
    </row>
    <row r="7" spans="1:5" x14ac:dyDescent="0.2">
      <c r="A7" s="16" t="s">
        <v>25</v>
      </c>
      <c r="B7">
        <f>1/((1/B6)-(1/B5))</f>
        <v>271.10990596665295</v>
      </c>
    </row>
    <row r="11" spans="1:5" x14ac:dyDescent="0.2">
      <c r="D11" t="s">
        <v>26</v>
      </c>
    </row>
    <row r="12" spans="1:5" x14ac:dyDescent="0.2">
      <c r="D12" t="s">
        <v>27</v>
      </c>
    </row>
    <row r="13" spans="1:5" x14ac:dyDescent="0.2">
      <c r="D13" t="s">
        <v>28</v>
      </c>
    </row>
  </sheetData>
  <mergeCells count="1">
    <mergeCell ref="A1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5DA2-AC11-094A-9287-E37F2E4BBB4D}">
  <dimension ref="A1:B22"/>
  <sheetViews>
    <sheetView zoomScale="58" workbookViewId="0">
      <selection activeCell="H16" sqref="H16"/>
    </sheetView>
  </sheetViews>
  <sheetFormatPr baseColWidth="10" defaultRowHeight="16" x14ac:dyDescent="0.2"/>
  <sheetData>
    <row r="1" spans="1:2" x14ac:dyDescent="0.2">
      <c r="A1" t="s">
        <v>30</v>
      </c>
      <c r="B1" t="s">
        <v>37</v>
      </c>
    </row>
    <row r="2" spans="1:2" x14ac:dyDescent="0.2">
      <c r="A2">
        <v>0</v>
      </c>
      <c r="B2">
        <v>0</v>
      </c>
    </row>
    <row r="3" spans="1:2" x14ac:dyDescent="0.2">
      <c r="A3">
        <v>18.0885</v>
      </c>
      <c r="B3">
        <v>1</v>
      </c>
    </row>
    <row r="4" spans="1:2" x14ac:dyDescent="0.2">
      <c r="A4">
        <v>69.870099999999994</v>
      </c>
      <c r="B4">
        <v>3</v>
      </c>
    </row>
    <row r="5" spans="1:2" x14ac:dyDescent="0.2">
      <c r="A5">
        <v>125.82899999999999</v>
      </c>
      <c r="B5">
        <v>5</v>
      </c>
    </row>
    <row r="6" spans="1:2" x14ac:dyDescent="0.2">
      <c r="A6">
        <v>196.07</v>
      </c>
      <c r="B6">
        <v>7</v>
      </c>
    </row>
    <row r="7" spans="1:2" x14ac:dyDescent="0.2">
      <c r="A7">
        <v>200.64500000000001</v>
      </c>
      <c r="B7">
        <v>9</v>
      </c>
    </row>
    <row r="8" spans="1:2" x14ac:dyDescent="0.2">
      <c r="A8">
        <v>235.20699999999999</v>
      </c>
      <c r="B8">
        <v>11</v>
      </c>
    </row>
    <row r="9" spans="1:2" x14ac:dyDescent="0.2">
      <c r="A9">
        <v>259.68700000000001</v>
      </c>
      <c r="B9">
        <v>13</v>
      </c>
    </row>
    <row r="10" spans="1:2" x14ac:dyDescent="0.2">
      <c r="A10">
        <v>294.25700000000001</v>
      </c>
      <c r="B10">
        <v>15</v>
      </c>
    </row>
    <row r="11" spans="1:2" x14ac:dyDescent="0.2">
      <c r="A11">
        <v>270.41000000000003</v>
      </c>
      <c r="B11">
        <v>17</v>
      </c>
    </row>
    <row r="12" spans="1:2" x14ac:dyDescent="0.2">
      <c r="A12">
        <v>271.13200000000001</v>
      </c>
      <c r="B12">
        <v>19</v>
      </c>
    </row>
    <row r="13" spans="1:2" x14ac:dyDescent="0.2">
      <c r="A13">
        <v>258.048</v>
      </c>
      <c r="B13">
        <v>21</v>
      </c>
    </row>
    <row r="14" spans="1:2" x14ac:dyDescent="0.2">
      <c r="A14">
        <v>235.59</v>
      </c>
      <c r="B14">
        <v>23</v>
      </c>
    </row>
    <row r="15" spans="1:2" x14ac:dyDescent="0.2">
      <c r="A15">
        <v>185.49799999999999</v>
      </c>
      <c r="B15">
        <v>25</v>
      </c>
    </row>
    <row r="16" spans="1:2" x14ac:dyDescent="0.2">
      <c r="A16">
        <v>150.61099999999999</v>
      </c>
      <c r="B16">
        <v>27</v>
      </c>
    </row>
    <row r="17" spans="1:2" x14ac:dyDescent="0.2">
      <c r="A17">
        <v>101.437</v>
      </c>
      <c r="B17">
        <v>29</v>
      </c>
    </row>
    <row r="18" spans="1:2" x14ac:dyDescent="0.2">
      <c r="A18">
        <v>91.488100000000003</v>
      </c>
      <c r="B18">
        <v>30</v>
      </c>
    </row>
    <row r="19" spans="1:2" x14ac:dyDescent="0.2">
      <c r="A19">
        <v>60.891100000000002</v>
      </c>
      <c r="B19">
        <v>31</v>
      </c>
    </row>
    <row r="20" spans="1:2" x14ac:dyDescent="0.2">
      <c r="A20">
        <v>9.5410699999999995</v>
      </c>
      <c r="B20">
        <v>33</v>
      </c>
    </row>
    <row r="21" spans="1:2" x14ac:dyDescent="0.2">
      <c r="A21">
        <v>-5.8253599999999999</v>
      </c>
      <c r="B21">
        <v>35</v>
      </c>
    </row>
    <row r="22" spans="1:2" x14ac:dyDescent="0.2">
      <c r="A22">
        <v>-59.551400000000001</v>
      </c>
      <c r="B22">
        <v>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0656-03E4-8C46-BC9C-657BCC700CF0}">
  <dimension ref="B3:Q47"/>
  <sheetViews>
    <sheetView tabSelected="1" zoomScale="107" workbookViewId="0">
      <selection activeCell="F34" sqref="F34"/>
    </sheetView>
  </sheetViews>
  <sheetFormatPr baseColWidth="10" defaultRowHeight="16" x14ac:dyDescent="0.2"/>
  <sheetData>
    <row r="3" spans="2:7" x14ac:dyDescent="0.2"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</row>
    <row r="4" spans="2:7" x14ac:dyDescent="0.2">
      <c r="B4">
        <v>0</v>
      </c>
      <c r="C4">
        <v>51855.6</v>
      </c>
      <c r="D4">
        <f>COS(PI()/9)</f>
        <v>0.93969262078590843</v>
      </c>
      <c r="F4">
        <f>C4*D4</f>
        <v>48728.324666425753</v>
      </c>
      <c r="G4">
        <f>C4/D4</f>
        <v>55183.576898401909</v>
      </c>
    </row>
    <row r="5" spans="2:7" x14ac:dyDescent="0.2">
      <c r="B5">
        <v>5</v>
      </c>
      <c r="C5">
        <v>47259.9</v>
      </c>
      <c r="D5">
        <f>$D$4^E5</f>
        <v>0.88302222155948906</v>
      </c>
      <c r="E5">
        <v>2</v>
      </c>
      <c r="F5">
        <f>$C$4*D5</f>
        <v>45789.647112300241</v>
      </c>
      <c r="G5">
        <f t="shared" ref="G5:G47" si="0">C5/D5</f>
        <v>53520.623656033451</v>
      </c>
    </row>
    <row r="6" spans="2:7" x14ac:dyDescent="0.2">
      <c r="B6">
        <v>11</v>
      </c>
      <c r="C6">
        <v>42871.8</v>
      </c>
      <c r="D6">
        <f>$D$4^E6</f>
        <v>0.82976946558943132</v>
      </c>
      <c r="E6">
        <v>3</v>
      </c>
      <c r="F6">
        <f t="shared" ref="F6:F47" si="1">$C$4*D6</f>
        <v>43028.19349981931</v>
      </c>
      <c r="G6">
        <f t="shared" si="0"/>
        <v>51667.121746334429</v>
      </c>
    </row>
    <row r="7" spans="2:7" x14ac:dyDescent="0.2">
      <c r="B7">
        <v>16</v>
      </c>
      <c r="C7">
        <v>38623.1</v>
      </c>
      <c r="D7">
        <f t="shared" ref="D7:D47" si="2">$D$4^E7</f>
        <v>0.77972824376785543</v>
      </c>
      <c r="E7">
        <v>4</v>
      </c>
      <c r="F7">
        <f t="shared" si="1"/>
        <v>40433.275917528401</v>
      </c>
      <c r="G7">
        <f t="shared" si="0"/>
        <v>49534.052804555147</v>
      </c>
    </row>
    <row r="8" spans="2:7" x14ac:dyDescent="0.2">
      <c r="B8">
        <v>21</v>
      </c>
      <c r="C8">
        <v>34991.699999999997</v>
      </c>
      <c r="D8">
        <f t="shared" si="2"/>
        <v>0.73270487688700969</v>
      </c>
      <c r="E8">
        <v>5</v>
      </c>
      <c r="F8">
        <f t="shared" si="1"/>
        <v>37994.851013902022</v>
      </c>
      <c r="G8">
        <f t="shared" si="0"/>
        <v>47756.881527343867</v>
      </c>
    </row>
    <row r="9" spans="2:7" x14ac:dyDescent="0.2">
      <c r="B9">
        <v>26</v>
      </c>
      <c r="C9">
        <v>31804</v>
      </c>
      <c r="D9">
        <f t="shared" si="2"/>
        <v>0.68851736602457059</v>
      </c>
      <c r="E9">
        <v>6</v>
      </c>
      <c r="F9">
        <f t="shared" si="1"/>
        <v>35703.481125623723</v>
      </c>
      <c r="G9">
        <f t="shared" si="0"/>
        <v>46192.008465426326</v>
      </c>
    </row>
    <row r="10" spans="2:7" x14ac:dyDescent="0.2">
      <c r="B10">
        <v>31</v>
      </c>
      <c r="C10">
        <v>28574.400000000001</v>
      </c>
      <c r="D10">
        <f t="shared" si="2"/>
        <v>0.64699468813623928</v>
      </c>
      <c r="E10">
        <v>7</v>
      </c>
      <c r="F10">
        <f t="shared" si="1"/>
        <v>33550.29775011757</v>
      </c>
      <c r="G10">
        <f t="shared" si="0"/>
        <v>44164.813906452073</v>
      </c>
    </row>
    <row r="11" spans="2:7" x14ac:dyDescent="0.2">
      <c r="B11">
        <v>36</v>
      </c>
      <c r="C11">
        <v>25953.200000000001</v>
      </c>
      <c r="D11">
        <f t="shared" si="2"/>
        <v>0.60797613412930418</v>
      </c>
      <c r="E11">
        <v>8</v>
      </c>
      <c r="F11">
        <f t="shared" si="1"/>
        <v>31526.967220955547</v>
      </c>
      <c r="G11">
        <f t="shared" si="0"/>
        <v>42687.859840367157</v>
      </c>
    </row>
    <row r="12" spans="2:7" x14ac:dyDescent="0.2">
      <c r="B12">
        <v>41</v>
      </c>
      <c r="C12">
        <v>23679.3</v>
      </c>
      <c r="D12">
        <f t="shared" si="2"/>
        <v>0.57131068685525088</v>
      </c>
      <c r="E12">
        <v>9</v>
      </c>
      <c r="F12">
        <f t="shared" si="1"/>
        <v>29625.658453291147</v>
      </c>
      <c r="G12">
        <f t="shared" si="0"/>
        <v>41447.325500493331</v>
      </c>
    </row>
    <row r="13" spans="2:7" x14ac:dyDescent="0.2">
      <c r="B13">
        <v>46</v>
      </c>
      <c r="C13">
        <v>21480.9</v>
      </c>
      <c r="D13">
        <f t="shared" si="2"/>
        <v>0.53685643661400806</v>
      </c>
      <c r="E13">
        <v>10</v>
      </c>
      <c r="F13">
        <f t="shared" si="1"/>
        <v>27839.012634481354</v>
      </c>
      <c r="G13">
        <f t="shared" si="0"/>
        <v>40012.373020022955</v>
      </c>
    </row>
    <row r="14" spans="2:7" x14ac:dyDescent="0.2">
      <c r="B14">
        <v>51</v>
      </c>
      <c r="C14">
        <v>19558.5</v>
      </c>
      <c r="D14">
        <f t="shared" si="2"/>
        <v>0.50448003190760116</v>
      </c>
      <c r="E14">
        <v>11</v>
      </c>
      <c r="F14">
        <f t="shared" si="1"/>
        <v>26160.114742587801</v>
      </c>
      <c r="G14">
        <f t="shared" si="0"/>
        <v>38769.621715339308</v>
      </c>
    </row>
    <row r="15" spans="2:7" x14ac:dyDescent="0.2">
      <c r="B15">
        <v>57</v>
      </c>
      <c r="C15">
        <v>17656</v>
      </c>
      <c r="D15">
        <f t="shared" si="2"/>
        <v>0.47405616331741246</v>
      </c>
      <c r="E15">
        <v>12</v>
      </c>
      <c r="F15">
        <f t="shared" si="1"/>
        <v>24582.466782522413</v>
      </c>
      <c r="G15">
        <f t="shared" si="0"/>
        <v>37244.532117132549</v>
      </c>
    </row>
    <row r="16" spans="2:7" x14ac:dyDescent="0.2">
      <c r="B16">
        <v>62</v>
      </c>
      <c r="C16">
        <v>16449.900000000001</v>
      </c>
      <c r="D16">
        <f t="shared" si="2"/>
        <v>0.44546707850745193</v>
      </c>
      <c r="E16">
        <v>13</v>
      </c>
      <c r="F16">
        <f t="shared" si="1"/>
        <v>23099.962636251024</v>
      </c>
      <c r="G16">
        <f t="shared" si="0"/>
        <v>36927.307973275565</v>
      </c>
    </row>
    <row r="17" spans="2:17" x14ac:dyDescent="0.2">
      <c r="B17">
        <v>67</v>
      </c>
      <c r="C17">
        <v>14736.5</v>
      </c>
      <c r="D17">
        <f t="shared" si="2"/>
        <v>0.41860212647650957</v>
      </c>
      <c r="E17">
        <v>14</v>
      </c>
      <c r="F17">
        <f t="shared" si="1"/>
        <v>21706.86442971529</v>
      </c>
      <c r="G17">
        <f t="shared" si="0"/>
        <v>35204.07343374296</v>
      </c>
    </row>
    <row r="18" spans="2:17" x14ac:dyDescent="0.2">
      <c r="B18">
        <v>72</v>
      </c>
      <c r="C18">
        <v>13467.2</v>
      </c>
      <c r="D18">
        <f t="shared" si="2"/>
        <v>0.39335732929526557</v>
      </c>
      <c r="E18">
        <v>15</v>
      </c>
      <c r="F18">
        <f t="shared" si="1"/>
        <v>20397.780325003572</v>
      </c>
      <c r="G18">
        <f t="shared" si="0"/>
        <v>34236.555409117915</v>
      </c>
    </row>
    <row r="19" spans="2:17" x14ac:dyDescent="0.2">
      <c r="B19">
        <v>77</v>
      </c>
      <c r="C19">
        <v>12390.4</v>
      </c>
      <c r="D19">
        <f t="shared" si="2"/>
        <v>0.36963497967081366</v>
      </c>
      <c r="E19">
        <v>16</v>
      </c>
      <c r="F19">
        <f t="shared" si="1"/>
        <v>19167.643651817845</v>
      </c>
      <c r="G19">
        <f t="shared" si="0"/>
        <v>33520.637064799805</v>
      </c>
    </row>
    <row r="20" spans="2:17" x14ac:dyDescent="0.2">
      <c r="B20">
        <v>82</v>
      </c>
      <c r="C20">
        <v>11184.2</v>
      </c>
      <c r="D20">
        <f t="shared" si="2"/>
        <v>0.34734326278101285</v>
      </c>
      <c r="E20">
        <v>17</v>
      </c>
      <c r="F20">
        <f t="shared" si="1"/>
        <v>18011.693297467089</v>
      </c>
      <c r="G20">
        <f t="shared" si="0"/>
        <v>32199.271436714829</v>
      </c>
    </row>
    <row r="21" spans="2:17" x14ac:dyDescent="0.2">
      <c r="B21">
        <v>87</v>
      </c>
      <c r="C21">
        <v>10278.799999999999</v>
      </c>
      <c r="D21">
        <f t="shared" si="2"/>
        <v>0.32639590091501847</v>
      </c>
      <c r="E21">
        <v>18</v>
      </c>
      <c r="F21">
        <f t="shared" si="1"/>
        <v>16925.45527948883</v>
      </c>
      <c r="G21">
        <f t="shared" si="0"/>
        <v>31491.817057703254</v>
      </c>
    </row>
    <row r="22" spans="2:17" x14ac:dyDescent="0.2">
      <c r="B22">
        <v>92</v>
      </c>
      <c r="C22">
        <v>9303.24</v>
      </c>
      <c r="D22">
        <f t="shared" si="2"/>
        <v>0.30671181954461135</v>
      </c>
      <c r="E22">
        <v>19</v>
      </c>
      <c r="F22">
        <f t="shared" si="1"/>
        <v>15904.725429577547</v>
      </c>
      <c r="G22">
        <f t="shared" si="0"/>
        <v>30332.186134244625</v>
      </c>
    </row>
    <row r="23" spans="2:17" x14ac:dyDescent="0.2">
      <c r="B23">
        <v>97</v>
      </c>
      <c r="C23">
        <v>8426.2199999999993</v>
      </c>
      <c r="D23">
        <f t="shared" si="2"/>
        <v>0.28821483353389049</v>
      </c>
      <c r="E23">
        <v>20</v>
      </c>
      <c r="F23">
        <f t="shared" si="1"/>
        <v>14945.553121800011</v>
      </c>
      <c r="G23">
        <f t="shared" si="0"/>
        <v>29235.899820573184</v>
      </c>
    </row>
    <row r="24" spans="2:17" x14ac:dyDescent="0.2">
      <c r="B24">
        <v>103</v>
      </c>
      <c r="C24">
        <v>7656.36</v>
      </c>
      <c r="D24">
        <f t="shared" si="2"/>
        <v>0.27083335227283584</v>
      </c>
      <c r="E24">
        <v>21</v>
      </c>
      <c r="F24">
        <f t="shared" si="1"/>
        <v>14044.225982119266</v>
      </c>
      <c r="G24">
        <f t="shared" si="0"/>
        <v>28269.63494616804</v>
      </c>
    </row>
    <row r="25" spans="2:17" x14ac:dyDescent="0.2">
      <c r="B25">
        <v>108</v>
      </c>
      <c r="C25">
        <v>7063.69</v>
      </c>
      <c r="D25">
        <f t="shared" si="2"/>
        <v>0.25450010259349432</v>
      </c>
      <c r="E25">
        <v>22</v>
      </c>
      <c r="F25">
        <f t="shared" si="1"/>
        <v>13197.255520047203</v>
      </c>
      <c r="G25">
        <f t="shared" si="0"/>
        <v>27755.155805507191</v>
      </c>
    </row>
    <row r="26" spans="2:17" x14ac:dyDescent="0.2">
      <c r="B26">
        <v>113</v>
      </c>
      <c r="C26">
        <v>6361.65</v>
      </c>
      <c r="D26">
        <f t="shared" si="2"/>
        <v>0.23915186839636324</v>
      </c>
      <c r="E26">
        <v>23</v>
      </c>
      <c r="F26">
        <f t="shared" si="1"/>
        <v>12401.363626814453</v>
      </c>
      <c r="G26">
        <f t="shared" si="0"/>
        <v>26600.879360291634</v>
      </c>
    </row>
    <row r="27" spans="2:17" x14ac:dyDescent="0.2">
      <c r="B27">
        <v>118</v>
      </c>
      <c r="C27">
        <v>5836.83</v>
      </c>
      <c r="D27">
        <f t="shared" si="2"/>
        <v>0.22472924597922522</v>
      </c>
      <c r="E27">
        <v>24</v>
      </c>
      <c r="F27">
        <f t="shared" si="1"/>
        <v>11653.469887800311</v>
      </c>
      <c r="G27">
        <f t="shared" si="0"/>
        <v>25972.720971704668</v>
      </c>
    </row>
    <row r="28" spans="2:17" x14ac:dyDescent="0.2">
      <c r="B28">
        <v>123</v>
      </c>
      <c r="C28">
        <v>5241.9399999999996</v>
      </c>
      <c r="D28">
        <f t="shared" si="2"/>
        <v>0.21117641412145924</v>
      </c>
      <c r="E28">
        <v>25</v>
      </c>
      <c r="F28">
        <f t="shared" si="1"/>
        <v>10950.679660116741</v>
      </c>
      <c r="G28">
        <f t="shared" si="0"/>
        <v>24822.563740404599</v>
      </c>
      <c r="P28" s="19" t="s">
        <v>36</v>
      </c>
      <c r="Q28" s="19"/>
    </row>
    <row r="29" spans="2:17" x14ac:dyDescent="0.2">
      <c r="B29">
        <v>128</v>
      </c>
      <c r="C29">
        <v>4822.3999999999996</v>
      </c>
      <c r="D29">
        <f t="shared" si="2"/>
        <v>0.19844091803396433</v>
      </c>
      <c r="E29">
        <v>26</v>
      </c>
      <c r="F29">
        <f t="shared" si="1"/>
        <v>10290.272869202041</v>
      </c>
      <c r="G29">
        <f t="shared" si="0"/>
        <v>24301.439681782856</v>
      </c>
      <c r="P29" s="19"/>
      <c r="Q29" s="19"/>
    </row>
    <row r="30" spans="2:17" x14ac:dyDescent="0.2">
      <c r="B30">
        <v>133</v>
      </c>
      <c r="C30">
        <v>4389.47</v>
      </c>
      <c r="D30">
        <f t="shared" si="2"/>
        <v>0.18647346633849757</v>
      </c>
      <c r="E30">
        <v>27</v>
      </c>
      <c r="F30">
        <f t="shared" si="1"/>
        <v>9669.6934810625935</v>
      </c>
      <c r="G30">
        <f t="shared" si="0"/>
        <v>23539.381158024793</v>
      </c>
      <c r="P30" s="19"/>
      <c r="Q30" s="19"/>
    </row>
    <row r="31" spans="2:17" x14ac:dyDescent="0.2">
      <c r="B31">
        <v>138</v>
      </c>
      <c r="C31">
        <v>3990.14</v>
      </c>
      <c r="D31">
        <f t="shared" si="2"/>
        <v>0.17522774029065569</v>
      </c>
      <c r="E31">
        <v>28</v>
      </c>
      <c r="F31">
        <f t="shared" si="1"/>
        <v>9086.5396094161242</v>
      </c>
      <c r="G31">
        <f t="shared" si="0"/>
        <v>22771.166217069462</v>
      </c>
      <c r="P31" s="19" t="s">
        <v>35</v>
      </c>
      <c r="Q31" s="19"/>
    </row>
    <row r="32" spans="2:17" x14ac:dyDescent="0.2">
      <c r="B32">
        <v>143</v>
      </c>
      <c r="C32">
        <v>3596.9</v>
      </c>
      <c r="D32">
        <f t="shared" si="2"/>
        <v>0.16466021450811874</v>
      </c>
      <c r="E32">
        <v>29</v>
      </c>
      <c r="F32">
        <f t="shared" si="1"/>
        <v>8538.5542194472018</v>
      </c>
      <c r="G32">
        <f t="shared" si="0"/>
        <v>21844.378198733921</v>
      </c>
      <c r="P32" s="19"/>
      <c r="Q32" s="19"/>
    </row>
    <row r="33" spans="2:17" x14ac:dyDescent="0.2">
      <c r="B33">
        <v>149</v>
      </c>
      <c r="C33">
        <v>3302.58</v>
      </c>
      <c r="D33">
        <f t="shared" si="2"/>
        <v>0.15472998851030398</v>
      </c>
      <c r="E33">
        <v>30</v>
      </c>
      <c r="F33">
        <f t="shared" si="1"/>
        <v>8023.6163921949192</v>
      </c>
      <c r="G33">
        <f t="shared" si="0"/>
        <v>21344.149455424216</v>
      </c>
      <c r="P33" s="19"/>
      <c r="Q33" s="19"/>
    </row>
    <row r="34" spans="2:17" x14ac:dyDescent="0.2">
      <c r="B34">
        <v>154</v>
      </c>
      <c r="C34">
        <v>2987.47</v>
      </c>
      <c r="D34">
        <f t="shared" si="2"/>
        <v>0.14539862841742104</v>
      </c>
      <c r="E34">
        <v>31</v>
      </c>
      <c r="F34">
        <f t="shared" si="1"/>
        <v>7539.7331157624185</v>
      </c>
      <c r="G34">
        <f t="shared" si="0"/>
        <v>20546.755031439166</v>
      </c>
    </row>
    <row r="35" spans="2:17" x14ac:dyDescent="0.2">
      <c r="B35">
        <v>159</v>
      </c>
      <c r="C35">
        <v>2742.25</v>
      </c>
      <c r="D35">
        <f t="shared" si="2"/>
        <v>0.13663001819624282</v>
      </c>
      <c r="E35">
        <v>32</v>
      </c>
      <c r="F35">
        <f t="shared" si="1"/>
        <v>7085.0315715770894</v>
      </c>
      <c r="G35">
        <f t="shared" si="0"/>
        <v>20070.626032277065</v>
      </c>
    </row>
    <row r="36" spans="2:17" x14ac:dyDescent="0.2">
      <c r="B36">
        <v>164</v>
      </c>
      <c r="C36">
        <v>2412.31</v>
      </c>
      <c r="D36">
        <f t="shared" si="2"/>
        <v>0.12839021987685378</v>
      </c>
      <c r="E36">
        <v>33</v>
      </c>
      <c r="F36">
        <f t="shared" si="1"/>
        <v>6657.751885846179</v>
      </c>
      <c r="G36">
        <f t="shared" si="0"/>
        <v>18788.892193765078</v>
      </c>
    </row>
    <row r="37" spans="2:17" x14ac:dyDescent="0.2">
      <c r="B37">
        <v>169</v>
      </c>
      <c r="C37">
        <v>2228.5700000000002</v>
      </c>
      <c r="D37">
        <f t="shared" si="2"/>
        <v>0.12064734219935976</v>
      </c>
      <c r="E37">
        <v>34</v>
      </c>
      <c r="F37">
        <f t="shared" si="1"/>
        <v>6256.2403181531199</v>
      </c>
      <c r="G37">
        <f t="shared" si="0"/>
        <v>18471.770362893469</v>
      </c>
    </row>
    <row r="38" spans="2:17" x14ac:dyDescent="0.2">
      <c r="B38">
        <v>174</v>
      </c>
      <c r="C38">
        <v>2031.78</v>
      </c>
      <c r="D38">
        <f t="shared" si="2"/>
        <v>0.11337141718217068</v>
      </c>
      <c r="E38">
        <v>35</v>
      </c>
      <c r="F38">
        <f t="shared" si="1"/>
        <v>5878.9428608317703</v>
      </c>
      <c r="G38">
        <f t="shared" si="0"/>
        <v>17921.448372963685</v>
      </c>
    </row>
    <row r="39" spans="2:17" x14ac:dyDescent="0.2">
      <c r="B39">
        <v>179</v>
      </c>
      <c r="C39">
        <v>1870.6</v>
      </c>
      <c r="D39">
        <f t="shared" si="2"/>
        <v>0.10653428413412655</v>
      </c>
      <c r="E39">
        <v>36</v>
      </c>
      <c r="F39">
        <f t="shared" si="1"/>
        <v>5524.3992243456123</v>
      </c>
      <c r="G39">
        <f t="shared" si="0"/>
        <v>17558.666819827846</v>
      </c>
    </row>
    <row r="40" spans="2:17" x14ac:dyDescent="0.2">
      <c r="B40">
        <v>184</v>
      </c>
      <c r="C40">
        <v>1720.38</v>
      </c>
      <c r="D40">
        <f t="shared" si="2"/>
        <v>0.10010948066154798</v>
      </c>
      <c r="E40">
        <v>37</v>
      </c>
      <c r="F40">
        <f t="shared" si="1"/>
        <v>5191.2371853929671</v>
      </c>
      <c r="G40">
        <f t="shared" si="0"/>
        <v>17184.98576389876</v>
      </c>
    </row>
    <row r="41" spans="2:17" x14ac:dyDescent="0.2">
      <c r="B41">
        <v>189</v>
      </c>
      <c r="C41">
        <v>1560.73</v>
      </c>
      <c r="D41">
        <f t="shared" si="2"/>
        <v>9.4072140248366257E-2</v>
      </c>
      <c r="E41">
        <v>38</v>
      </c>
      <c r="F41">
        <f t="shared" si="1"/>
        <v>4878.1672758631812</v>
      </c>
      <c r="G41">
        <f t="shared" si="0"/>
        <v>16590.778054792954</v>
      </c>
    </row>
    <row r="42" spans="2:17" x14ac:dyDescent="0.2">
      <c r="B42">
        <v>195</v>
      </c>
      <c r="C42">
        <v>1407.39</v>
      </c>
      <c r="D42">
        <f t="shared" si="2"/>
        <v>8.8398896012926817E-2</v>
      </c>
      <c r="E42">
        <v>39</v>
      </c>
      <c r="F42">
        <f t="shared" si="1"/>
        <v>4583.9777920879278</v>
      </c>
      <c r="G42">
        <f t="shared" si="0"/>
        <v>15920.900186289584</v>
      </c>
    </row>
    <row r="43" spans="2:17" x14ac:dyDescent="0.2">
      <c r="B43">
        <v>200</v>
      </c>
      <c r="C43">
        <v>1316.44</v>
      </c>
      <c r="D43">
        <f t="shared" si="2"/>
        <v>8.3067790268968197E-2</v>
      </c>
      <c r="E43">
        <v>40</v>
      </c>
      <c r="F43">
        <f t="shared" si="1"/>
        <v>4307.530105071507</v>
      </c>
      <c r="G43">
        <f t="shared" si="0"/>
        <v>15847.779214271277</v>
      </c>
    </row>
    <row r="44" spans="2:17" x14ac:dyDescent="0.2">
      <c r="B44">
        <v>205</v>
      </c>
      <c r="C44">
        <v>1175.7</v>
      </c>
      <c r="D44">
        <f t="shared" si="2"/>
        <v>7.805818954074091E-2</v>
      </c>
      <c r="E44">
        <v>41</v>
      </c>
      <c r="F44">
        <f t="shared" si="1"/>
        <v>4047.7542535488442</v>
      </c>
      <c r="G44">
        <f t="shared" si="0"/>
        <v>15061.84049255161</v>
      </c>
    </row>
    <row r="45" spans="2:17" x14ac:dyDescent="0.2">
      <c r="B45">
        <v>210</v>
      </c>
      <c r="C45">
        <v>1115.77</v>
      </c>
      <c r="D45">
        <f t="shared" si="2"/>
        <v>7.3350704703341998E-2</v>
      </c>
      <c r="E45">
        <v>42</v>
      </c>
      <c r="F45">
        <f t="shared" si="1"/>
        <v>3803.644802814621</v>
      </c>
      <c r="G45">
        <f t="shared" si="0"/>
        <v>15211.442132868335</v>
      </c>
    </row>
    <row r="46" spans="2:17" x14ac:dyDescent="0.2">
      <c r="B46">
        <v>215</v>
      </c>
      <c r="C46">
        <v>991.44399999999996</v>
      </c>
      <c r="D46">
        <f t="shared" si="2"/>
        <v>6.8927115939176706E-2</v>
      </c>
      <c r="E46">
        <v>43</v>
      </c>
      <c r="F46">
        <f t="shared" si="1"/>
        <v>3574.2569532955713</v>
      </c>
      <c r="G46">
        <f t="shared" si="0"/>
        <v>14383.947253427505</v>
      </c>
    </row>
    <row r="47" spans="2:17" x14ac:dyDescent="0.2">
      <c r="B47">
        <v>220</v>
      </c>
      <c r="C47">
        <v>889.12099999999998</v>
      </c>
      <c r="D47">
        <f t="shared" si="2"/>
        <v>6.4770302220099121E-2</v>
      </c>
      <c r="E47">
        <v>44</v>
      </c>
      <c r="F47">
        <f t="shared" si="1"/>
        <v>3358.7028838045717</v>
      </c>
      <c r="G47">
        <f t="shared" si="0"/>
        <v>13727.294292662624</v>
      </c>
    </row>
  </sheetData>
  <mergeCells count="2">
    <mergeCell ref="P31:Q33"/>
    <mergeCell ref="P28:Q3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D5A80-FA91-DE44-B151-2BA2D5AC55E6}">
  <dimension ref="A2:Q33"/>
  <sheetViews>
    <sheetView topLeftCell="A3" workbookViewId="0">
      <selection activeCell="I11" sqref="I11"/>
    </sheetView>
  </sheetViews>
  <sheetFormatPr baseColWidth="10" defaultRowHeight="16" x14ac:dyDescent="0.2"/>
  <cols>
    <col min="9" max="9" width="12.1640625" bestFit="1" customWidth="1"/>
  </cols>
  <sheetData>
    <row r="2" spans="1:17" x14ac:dyDescent="0.2">
      <c r="P2" t="s">
        <v>19</v>
      </c>
      <c r="Q2">
        <v>15</v>
      </c>
    </row>
    <row r="6" spans="1:17" x14ac:dyDescent="0.2">
      <c r="A6" s="15">
        <v>25</v>
      </c>
      <c r="B6">
        <f>COS(3.1415*Q2/180)</f>
        <v>0.96592782463641225</v>
      </c>
      <c r="C6" s="15">
        <v>1462800</v>
      </c>
      <c r="D6" s="15">
        <v>1241000</v>
      </c>
      <c r="E6" s="15">
        <v>904000</v>
      </c>
      <c r="G6">
        <f>C6/B6</f>
        <v>1514398.863652796</v>
      </c>
      <c r="H6">
        <f>D6/B6</f>
        <v>1284775.0818930271</v>
      </c>
      <c r="I6">
        <f>E6/B6</f>
        <v>935887.73088742665</v>
      </c>
      <c r="M6">
        <f>SIN(Q2*3.1415/180)*COS(3.1415*Q2/180)</f>
        <v>0.24999331327331625</v>
      </c>
    </row>
    <row r="7" spans="1:17" x14ac:dyDescent="0.2">
      <c r="A7" s="15">
        <v>29</v>
      </c>
      <c r="B7">
        <f>COS(3.1415*Q2/180)*COS(3.1415*Q2/180)</f>
        <v>0.93301656240683162</v>
      </c>
      <c r="C7" s="15">
        <v>296500</v>
      </c>
      <c r="D7" s="15">
        <v>297800</v>
      </c>
      <c r="E7" s="15">
        <v>298600</v>
      </c>
      <c r="G7">
        <f t="shared" ref="G7:G15" si="0">C7/B7</f>
        <v>317786.42732251354</v>
      </c>
      <c r="H7">
        <f t="shared" ref="H7:H15" si="1">D7/B7</f>
        <v>319179.75735799165</v>
      </c>
      <c r="I7">
        <f t="shared" ref="I7:I15" si="2">E7/B7</f>
        <v>320037.1912259782</v>
      </c>
      <c r="K7">
        <f>SIN(15)</f>
        <v>0.65028784015711683</v>
      </c>
    </row>
    <row r="8" spans="1:17" x14ac:dyDescent="0.2">
      <c r="A8" s="15">
        <v>33</v>
      </c>
      <c r="B8">
        <f>COS(3.1415*$Q$2/180)*COS(3.1415*$Q$2/180)*COS(3.1415*Q2/180)</f>
        <v>0.9012266584753742</v>
      </c>
      <c r="C8" s="15">
        <v>67800</v>
      </c>
      <c r="D8" s="15">
        <v>99990</v>
      </c>
      <c r="E8" s="15">
        <v>122700</v>
      </c>
      <c r="G8">
        <f t="shared" si="0"/>
        <v>75230.797227746036</v>
      </c>
      <c r="H8">
        <f t="shared" si="1"/>
        <v>110948.78192923784</v>
      </c>
      <c r="I8">
        <f t="shared" si="2"/>
        <v>136147.77020419526</v>
      </c>
    </row>
    <row r="9" spans="1:17" x14ac:dyDescent="0.2">
      <c r="A9" s="15">
        <v>37</v>
      </c>
      <c r="B9">
        <f>COS(3.1415*$Q$2/180)*COS(3.1415*$Q$2/180)*COS(3.1415*Q2/180)</f>
        <v>0.9012266584753742</v>
      </c>
      <c r="C9" s="15">
        <v>20620</v>
      </c>
      <c r="D9" s="15">
        <v>42430</v>
      </c>
      <c r="E9" s="15">
        <v>54820</v>
      </c>
      <c r="G9">
        <f t="shared" si="0"/>
        <v>22879.926826491494</v>
      </c>
      <c r="H9">
        <f t="shared" si="1"/>
        <v>47080.276200195636</v>
      </c>
      <c r="I9">
        <f t="shared" si="2"/>
        <v>60828.205074115598</v>
      </c>
    </row>
    <row r="10" spans="1:17" x14ac:dyDescent="0.2">
      <c r="A10" s="15">
        <v>41</v>
      </c>
      <c r="B10">
        <f>COS(3.1415*$Q$2/180)*COS(3.1415*$Q$2/180)*COS(3.1415*Q2/180)*COS(3.1415*Q2/180)</f>
        <v>0.87051990572546101</v>
      </c>
      <c r="C10" s="15">
        <v>7840</v>
      </c>
      <c r="D10" s="15">
        <v>20590</v>
      </c>
      <c r="E10" s="15">
        <v>25760</v>
      </c>
      <c r="G10">
        <f t="shared" si="0"/>
        <v>9006.1122651370242</v>
      </c>
      <c r="H10">
        <f t="shared" si="1"/>
        <v>23652.532084077975</v>
      </c>
      <c r="I10">
        <f>E10/B10</f>
        <v>29591.511728307363</v>
      </c>
      <c r="M10">
        <f>COS(0)</f>
        <v>1</v>
      </c>
    </row>
    <row r="11" spans="1:17" x14ac:dyDescent="0.2">
      <c r="A11" s="15">
        <v>45</v>
      </c>
      <c r="B11">
        <f>COS(3.1415*$Q$2/180)*COS(3.1415*$Q$2/180)*COS(3.1415*Q2/180)*COS(3.1415*Q2/180)*COS(3.1415*Q2/180)</f>
        <v>0.8408593988400892</v>
      </c>
      <c r="C11" s="15">
        <v>3834</v>
      </c>
      <c r="D11" s="15">
        <v>11020</v>
      </c>
      <c r="E11" s="15">
        <v>46920</v>
      </c>
      <c r="G11">
        <f t="shared" si="0"/>
        <v>4559.6207942597221</v>
      </c>
      <c r="H11">
        <f t="shared" si="1"/>
        <v>13105.639319964042</v>
      </c>
      <c r="I11">
        <f>E11/B11</f>
        <v>55800.054164492998</v>
      </c>
    </row>
    <row r="12" spans="1:17" x14ac:dyDescent="0.2">
      <c r="A12" s="15">
        <v>49</v>
      </c>
      <c r="B12">
        <f>COS(3.1415*$Q$2/180)*COS(3.1415*$Q$2/180)*COS(3.1415*Q2/180)*COS(3.1415*Q2/180)*COS(3.1415*Q2/180)*COS(3.1415*Q2/180)</f>
        <v>0.81220948994668873</v>
      </c>
      <c r="C12" s="15">
        <v>950</v>
      </c>
      <c r="D12" s="15">
        <v>5760</v>
      </c>
      <c r="E12" s="15">
        <v>7248</v>
      </c>
      <c r="G12">
        <f t="shared" si="0"/>
        <v>1169.6489781993996</v>
      </c>
      <c r="H12">
        <f t="shared" si="1"/>
        <v>7091.7664362405703</v>
      </c>
      <c r="I12">
        <f>E12/B12</f>
        <v>8923.8060989360511</v>
      </c>
    </row>
    <row r="13" spans="1:17" x14ac:dyDescent="0.2">
      <c r="A13" s="15">
        <v>53</v>
      </c>
      <c r="B13">
        <f>COS(3.1415*$Q$2/180)*COS(3.1415*$Q$2/180)*COS(3.1415*Q2/180)*COS(3.1415*Q2/180)*COS(3.1415*Q2/180)*COS(3.1415*Q2/180)*COS(3.1415*Q2/180)</f>
        <v>0.78453574577325502</v>
      </c>
      <c r="C13" s="15">
        <v>0</v>
      </c>
      <c r="D13" s="15">
        <v>2763</v>
      </c>
      <c r="E13" s="15">
        <v>3150</v>
      </c>
      <c r="G13">
        <f t="shared" si="0"/>
        <v>0</v>
      </c>
      <c r="H13">
        <f t="shared" si="1"/>
        <v>3521.8280554912494</v>
      </c>
      <c r="I13">
        <f t="shared" si="2"/>
        <v>4015.1134183124996</v>
      </c>
    </row>
    <row r="14" spans="1:17" x14ac:dyDescent="0.2">
      <c r="A14" s="15">
        <v>57</v>
      </c>
      <c r="B14">
        <f>COS(3.1415*$Q$2/180)*COS(3.1415*$Q$2/180)*COS(3.1415*Q2/180)*COS(3.1415*Q2/180)*COS(3.1415*Q2/180)*COS(3.1415*Q2/180)*COS(3.1415*Q2/180)*COS(3.1415*Q2/180)</f>
        <v>0.75780490626426555</v>
      </c>
      <c r="C14" s="15">
        <v>0</v>
      </c>
      <c r="D14" s="15">
        <v>1000</v>
      </c>
      <c r="E14" s="15">
        <v>1790</v>
      </c>
      <c r="G14">
        <f t="shared" si="0"/>
        <v>0</v>
      </c>
      <c r="H14">
        <f t="shared" si="1"/>
        <v>1319.6008520579239</v>
      </c>
      <c r="I14">
        <f t="shared" si="2"/>
        <v>2362.0855251836838</v>
      </c>
    </row>
    <row r="15" spans="1:17" x14ac:dyDescent="0.2">
      <c r="A15" s="15">
        <v>61</v>
      </c>
      <c r="B15">
        <f>COS(3.1415*$Q$2/180)*COS(3.1415*$Q$2/180)*COS(3.1415*Q2/180)*COS(3.1415*Q2/180)*COS(3.1415*Q2/180)*COS(3.1415*Q2/180)*COS(3.1415*Q2/180)*COS(3.1415*Q2/180)*COS(3.1415*Q2/180)</f>
        <v>0.73198484460664237</v>
      </c>
      <c r="C15" s="15">
        <v>0</v>
      </c>
      <c r="D15" s="15">
        <v>0</v>
      </c>
      <c r="E15" s="15">
        <v>0</v>
      </c>
      <c r="G15">
        <f t="shared" si="0"/>
        <v>0</v>
      </c>
      <c r="H15">
        <f t="shared" si="1"/>
        <v>0</v>
      </c>
      <c r="I15">
        <f t="shared" si="2"/>
        <v>0</v>
      </c>
    </row>
    <row r="20" spans="1:10" x14ac:dyDescent="0.2">
      <c r="J20">
        <f>SIN($Q$2*3.1415/180)</f>
        <v>0.25881158705353269</v>
      </c>
    </row>
    <row r="25" spans="1:10" x14ac:dyDescent="0.2">
      <c r="A25">
        <f>A6-1</f>
        <v>24</v>
      </c>
      <c r="B25">
        <f>C6/$C$6</f>
        <v>1</v>
      </c>
      <c r="C25">
        <f>D6/$D$6</f>
        <v>1</v>
      </c>
      <c r="D25">
        <f>E6/$E$6</f>
        <v>1</v>
      </c>
      <c r="E25">
        <f>AVERAGE(B25:D25)</f>
        <v>1</v>
      </c>
      <c r="F25">
        <f>LN(E25)</f>
        <v>0</v>
      </c>
      <c r="G25">
        <f>-1*F25</f>
        <v>0</v>
      </c>
    </row>
    <row r="26" spans="1:10" x14ac:dyDescent="0.2">
      <c r="A26">
        <f t="shared" ref="A26:A33" si="3">A7-1</f>
        <v>28</v>
      </c>
      <c r="B26">
        <f>C7/$C$6</f>
        <v>0.20269346458846049</v>
      </c>
      <c r="C26">
        <f>D7/$D$6</f>
        <v>0.23996776792908944</v>
      </c>
      <c r="D26">
        <f>E7/$E$6</f>
        <v>0.33030973451327433</v>
      </c>
      <c r="E26">
        <f t="shared" ref="E26:E33" si="4">AVERAGE(B26:D26)</f>
        <v>0.25765698901027473</v>
      </c>
      <c r="F26">
        <f t="shared" ref="F26:F33" si="5">LN(E26)</f>
        <v>-1.3561260785898772</v>
      </c>
      <c r="G26">
        <f t="shared" ref="G26:G33" si="6">-1*F26</f>
        <v>1.3561260785898772</v>
      </c>
    </row>
    <row r="27" spans="1:10" x14ac:dyDescent="0.2">
      <c r="A27">
        <f t="shared" si="3"/>
        <v>32</v>
      </c>
      <c r="B27">
        <f t="shared" ref="B27:B31" si="7">C8/$C$6</f>
        <v>4.6349466776045942E-2</v>
      </c>
      <c r="C27">
        <f t="shared" ref="C27:C33" si="8">D8/$D$6</f>
        <v>8.0572119258662367E-2</v>
      </c>
      <c r="D27">
        <f t="shared" ref="D27:D33" si="9">E8/$E$6</f>
        <v>0.13573008849557522</v>
      </c>
      <c r="E27">
        <f t="shared" si="4"/>
        <v>8.7550558176761176E-2</v>
      </c>
      <c r="F27">
        <f t="shared" si="5"/>
        <v>-2.4355388447507691</v>
      </c>
      <c r="G27">
        <f t="shared" si="6"/>
        <v>2.4355388447507691</v>
      </c>
    </row>
    <row r="28" spans="1:10" x14ac:dyDescent="0.2">
      <c r="A28">
        <f t="shared" si="3"/>
        <v>36</v>
      </c>
      <c r="B28">
        <f>C9/$C$6</f>
        <v>1.4096253759912497E-2</v>
      </c>
      <c r="C28">
        <f t="shared" si="8"/>
        <v>3.4190169218372278E-2</v>
      </c>
      <c r="D28">
        <f t="shared" si="9"/>
        <v>6.0641592920353982E-2</v>
      </c>
      <c r="E28">
        <f t="shared" si="4"/>
        <v>3.6309338632879586E-2</v>
      </c>
      <c r="F28">
        <f t="shared" si="5"/>
        <v>-3.315680308183921</v>
      </c>
      <c r="G28">
        <f t="shared" si="6"/>
        <v>3.315680308183921</v>
      </c>
    </row>
    <row r="29" spans="1:10" x14ac:dyDescent="0.2">
      <c r="A29">
        <f t="shared" si="3"/>
        <v>40</v>
      </c>
      <c r="B29">
        <f>C11/$C$6</f>
        <v>2.6210008203445445E-3</v>
      </c>
      <c r="C29">
        <f>D11/$D$6</f>
        <v>8.8799355358581793E-3</v>
      </c>
      <c r="D29">
        <f>E11/$E$6</f>
        <v>5.1902654867256634E-2</v>
      </c>
      <c r="E29">
        <f>AVERAGE(B29:D29)</f>
        <v>2.1134530407819787E-2</v>
      </c>
      <c r="F29">
        <f>LN(E29)</f>
        <v>-3.8568470639081274</v>
      </c>
      <c r="G29">
        <f>-1*F29</f>
        <v>3.8568470639081274</v>
      </c>
    </row>
    <row r="30" spans="1:10" x14ac:dyDescent="0.2">
      <c r="A30">
        <f t="shared" si="3"/>
        <v>44</v>
      </c>
      <c r="B30">
        <f>C10/$C$6</f>
        <v>5.3595843587640139E-3</v>
      </c>
      <c r="C30">
        <f>D10/$D$6</f>
        <v>1.6591458501208703E-2</v>
      </c>
      <c r="D30">
        <f>E10/$E$6</f>
        <v>2.8495575221238939E-2</v>
      </c>
      <c r="E30">
        <f>AVERAGE(B30:D30)</f>
        <v>1.6815539360403885E-2</v>
      </c>
      <c r="F30">
        <f>LN(E30)</f>
        <v>-4.0854518581578034</v>
      </c>
      <c r="G30">
        <f>-1*F30</f>
        <v>4.0854518581578034</v>
      </c>
    </row>
    <row r="31" spans="1:10" x14ac:dyDescent="0.2">
      <c r="A31">
        <f t="shared" si="3"/>
        <v>48</v>
      </c>
      <c r="B31">
        <f t="shared" si="7"/>
        <v>6.4943943122778235E-4</v>
      </c>
      <c r="C31">
        <f t="shared" si="8"/>
        <v>4.6414182111200646E-3</v>
      </c>
      <c r="D31">
        <f t="shared" si="9"/>
        <v>8.0176991150442481E-3</v>
      </c>
      <c r="E31">
        <f t="shared" si="4"/>
        <v>4.4361855857973651E-3</v>
      </c>
      <c r="F31">
        <f t="shared" si="5"/>
        <v>-5.4179603740757649</v>
      </c>
      <c r="G31">
        <f t="shared" si="6"/>
        <v>5.4179603740757649</v>
      </c>
    </row>
    <row r="32" spans="1:10" x14ac:dyDescent="0.2">
      <c r="A32">
        <f t="shared" si="3"/>
        <v>52</v>
      </c>
      <c r="C32">
        <f t="shared" si="8"/>
        <v>2.226430298146656E-3</v>
      </c>
      <c r="D32">
        <f t="shared" si="9"/>
        <v>3.4845132743362831E-3</v>
      </c>
      <c r="E32">
        <f t="shared" si="4"/>
        <v>2.8554717862414696E-3</v>
      </c>
      <c r="F32">
        <f t="shared" si="5"/>
        <v>-5.8585182004049399</v>
      </c>
      <c r="G32">
        <f t="shared" si="6"/>
        <v>5.8585182004049399</v>
      </c>
    </row>
    <row r="33" spans="1:7" x14ac:dyDescent="0.2">
      <c r="A33">
        <f t="shared" si="3"/>
        <v>56</v>
      </c>
      <c r="C33">
        <f t="shared" si="8"/>
        <v>8.0580177276390005E-4</v>
      </c>
      <c r="D33">
        <f t="shared" si="9"/>
        <v>1.9800884955752211E-3</v>
      </c>
      <c r="E33">
        <f t="shared" si="4"/>
        <v>1.3929451341695605E-3</v>
      </c>
      <c r="F33">
        <f t="shared" si="5"/>
        <v>-6.5763349717730994</v>
      </c>
      <c r="G33">
        <f t="shared" si="6"/>
        <v>6.5763349717730994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Polarisation</vt:lpstr>
      <vt:lpstr>T1</vt:lpstr>
      <vt:lpstr>Sheet4</vt:lpstr>
      <vt:lpstr>T1_cos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2021-10-17T17:26:49Z</dcterms:created>
  <dcterms:modified xsi:type="dcterms:W3CDTF">2023-05-23T16:49:59Z</dcterms:modified>
</cp:coreProperties>
</file>